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My_Private\VILLA_PROJECT\Project\wajha_leaflet_26-04-2025-Milstone\schedule&amp;cost_uplading_to_database\"/>
    </mc:Choice>
  </mc:AlternateContent>
  <xr:revisionPtr revIDLastSave="0" documentId="13_ncr:1_{2AA68568-D86E-4DE8-A717-B5696A302E0A}" xr6:coauthVersionLast="47" xr6:coauthVersionMax="47" xr10:uidLastSave="{00000000-0000-0000-0000-000000000000}"/>
  <bookViews>
    <workbookView xWindow="-108" yWindow="-108" windowWidth="23256" windowHeight="12456" firstSheet="1" activeTab="1" xr2:uid="{00000000-000D-0000-FFFF-FFFF00000000}"/>
  </bookViews>
  <sheets>
    <sheet name="CORE-ACTIVITIES" sheetId="2" state="hidden" r:id="rId1"/>
    <sheet name="data" sheetId="6" r:id="rId2"/>
  </sheets>
  <definedNames>
    <definedName name="_xlnm.Print_Area" localSheetId="0">'CORE-ACTIVITIES'!$A$1:$E$86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3" i="2" l="1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19" i="2"/>
  <c r="T20" i="2"/>
  <c r="T21" i="2"/>
  <c r="T22" i="2"/>
  <c r="T23" i="2"/>
  <c r="T24" i="2"/>
  <c r="T25" i="2"/>
  <c r="T26" i="2"/>
  <c r="T27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50" i="2"/>
  <c r="T51" i="2"/>
  <c r="T52" i="2"/>
  <c r="T53" i="2"/>
  <c r="T54" i="2"/>
  <c r="T55" i="2"/>
  <c r="T56" i="2"/>
  <c r="T57" i="2"/>
  <c r="T58" i="2"/>
  <c r="T59" i="2"/>
  <c r="T60" i="2"/>
  <c r="T61" i="2"/>
  <c r="T62" i="2"/>
  <c r="T63" i="2"/>
  <c r="T64" i="2"/>
  <c r="T65" i="2"/>
  <c r="T66" i="2"/>
  <c r="T67" i="2"/>
  <c r="T68" i="2"/>
  <c r="T69" i="2"/>
  <c r="T70" i="2"/>
  <c r="T71" i="2"/>
  <c r="T72" i="2"/>
  <c r="T73" i="2"/>
  <c r="T74" i="2"/>
  <c r="T75" i="2"/>
  <c r="T76" i="2"/>
  <c r="T77" i="2"/>
  <c r="T78" i="2"/>
  <c r="T79" i="2"/>
  <c r="T80" i="2"/>
  <c r="T81" i="2"/>
  <c r="T82" i="2"/>
  <c r="T83" i="2"/>
  <c r="T2" i="2"/>
  <c r="F85" i="2"/>
  <c r="G6" i="2" s="1"/>
  <c r="G65" i="2" l="1"/>
  <c r="G53" i="2"/>
  <c r="G77" i="2"/>
  <c r="G61" i="2"/>
  <c r="G37" i="2"/>
  <c r="G25" i="2"/>
  <c r="G72" i="2"/>
  <c r="G48" i="2"/>
  <c r="G36" i="2"/>
  <c r="G12" i="2"/>
  <c r="G83" i="2"/>
  <c r="G59" i="2"/>
  <c r="G35" i="2"/>
  <c r="G11" i="2"/>
  <c r="G70" i="2"/>
  <c r="G58" i="2"/>
  <c r="G34" i="2"/>
  <c r="G10" i="2"/>
  <c r="G81" i="2"/>
  <c r="G57" i="2"/>
  <c r="G33" i="2"/>
  <c r="G21" i="2"/>
  <c r="G80" i="2"/>
  <c r="G56" i="2"/>
  <c r="G32" i="2"/>
  <c r="G8" i="2"/>
  <c r="G79" i="2"/>
  <c r="G67" i="2"/>
  <c r="G55" i="2"/>
  <c r="G43" i="2"/>
  <c r="G31" i="2"/>
  <c r="G19" i="2"/>
  <c r="G7" i="2"/>
  <c r="G41" i="2"/>
  <c r="G29" i="2"/>
  <c r="G17" i="2"/>
  <c r="G5" i="2"/>
  <c r="G76" i="2"/>
  <c r="G64" i="2"/>
  <c r="G52" i="2"/>
  <c r="G40" i="2"/>
  <c r="G28" i="2"/>
  <c r="G16" i="2"/>
  <c r="G4" i="2"/>
  <c r="G75" i="2"/>
  <c r="G63" i="2"/>
  <c r="G51" i="2"/>
  <c r="G39" i="2"/>
  <c r="G27" i="2"/>
  <c r="G15" i="2"/>
  <c r="G3" i="2"/>
  <c r="G74" i="2"/>
  <c r="G62" i="2"/>
  <c r="G50" i="2"/>
  <c r="G38" i="2"/>
  <c r="G26" i="2"/>
  <c r="G14" i="2"/>
  <c r="G85" i="2"/>
  <c r="G73" i="2"/>
  <c r="G49" i="2"/>
  <c r="G13" i="2"/>
  <c r="G2" i="2"/>
  <c r="G60" i="2"/>
  <c r="G24" i="2"/>
  <c r="G71" i="2"/>
  <c r="G47" i="2"/>
  <c r="G23" i="2"/>
  <c r="G82" i="2"/>
  <c r="G46" i="2"/>
  <c r="G22" i="2"/>
  <c r="G69" i="2"/>
  <c r="G45" i="2"/>
  <c r="G9" i="2"/>
  <c r="G68" i="2"/>
  <c r="G44" i="2"/>
  <c r="G20" i="2"/>
  <c r="G78" i="2"/>
  <c r="G66" i="2"/>
  <c r="G54" i="2"/>
  <c r="G42" i="2"/>
  <c r="G30" i="2"/>
  <c r="G18" i="2"/>
</calcChain>
</file>

<file path=xl/sharedStrings.xml><?xml version="1.0" encoding="utf-8"?>
<sst xmlns="http://schemas.openxmlformats.org/spreadsheetml/2006/main" count="718" uniqueCount="249">
  <si>
    <t>Excavation&amp;Compaction of Fondation</t>
  </si>
  <si>
    <t>Pouring Concrete For Bedding</t>
  </si>
  <si>
    <t>Reinforcement Concrete For Foundation</t>
  </si>
  <si>
    <t>Steel Fixing&amp; Carpenter work for Beams</t>
  </si>
  <si>
    <t>Mech&amp;Elec Establishment for Beams</t>
  </si>
  <si>
    <t>Pouring Concrete For Beams</t>
  </si>
  <si>
    <t>Bitmen Coating For Fondation&amp;Beams</t>
  </si>
  <si>
    <t>Backfilling Inside Fondations</t>
  </si>
  <si>
    <t>Mech Works Under Grond Slap</t>
  </si>
  <si>
    <t>Steel Fixing&amp; Carpenter work for Ground Slap</t>
  </si>
  <si>
    <t>Anti Termite Treatment For Ground Slap</t>
  </si>
  <si>
    <t>Pouring Concrete For Ground Slap</t>
  </si>
  <si>
    <t>Precast Constrction</t>
  </si>
  <si>
    <t>Block Work For GF &amp; Estabishment 1F</t>
  </si>
  <si>
    <t>L.L &amp; H.L Drainage</t>
  </si>
  <si>
    <t>Elec Establishment For GF &amp; 1F</t>
  </si>
  <si>
    <t>Screed Work For 1F &amp; Roof</t>
  </si>
  <si>
    <t>Water Tank &amp; Heater Foundations</t>
  </si>
  <si>
    <t>Block Works For 1F</t>
  </si>
  <si>
    <t>Water Line Network</t>
  </si>
  <si>
    <t>Continue Elec Establishment For GF &amp; 1F</t>
  </si>
  <si>
    <t>Thermal Insulation For Roof</t>
  </si>
  <si>
    <t>Roof Floor Tiles</t>
  </si>
  <si>
    <t>Plaster Work For Villa</t>
  </si>
  <si>
    <t>Marbale Stairs &amp; Handrails</t>
  </si>
  <si>
    <t>Water Proofing Of Bathrooms</t>
  </si>
  <si>
    <t>Pulling The Elec Wires</t>
  </si>
  <si>
    <t>Bathroom Tiles</t>
  </si>
  <si>
    <t>Structure For Gypsum</t>
  </si>
  <si>
    <t>Gypsum Board For Room</t>
  </si>
  <si>
    <t>Installation Of Gypsum Board For Bathroom &amp; Kitchen</t>
  </si>
  <si>
    <t>Putty Filler For Gypsm Board Ceiling</t>
  </si>
  <si>
    <t>Fixing Shower Glass</t>
  </si>
  <si>
    <t>Interior Wall Putty Filler</t>
  </si>
  <si>
    <t>Installation Of Sanitry Fixture</t>
  </si>
  <si>
    <t>1st Face Paint</t>
  </si>
  <si>
    <t>Installation Of Aluminum Windows</t>
  </si>
  <si>
    <t>Installation Of Elec Fixture &amp; Accessories</t>
  </si>
  <si>
    <t>Installation Of Water Tank-Heater &amp; Pumps</t>
  </si>
  <si>
    <t>Installation Of Parquet</t>
  </si>
  <si>
    <t>Installation Of Wooden Doors</t>
  </si>
  <si>
    <t>Final Face Paint</t>
  </si>
  <si>
    <t>Pouring Bedding Concrete For Fence Fondations</t>
  </si>
  <si>
    <t>RC Concrete For Fence Fondations</t>
  </si>
  <si>
    <t>Steel Fixing &amp; Carpentry For Fence Columns</t>
  </si>
  <si>
    <t>Establishing Elec For Fence Columns</t>
  </si>
  <si>
    <t>Pouring Concrete For Fence Columns</t>
  </si>
  <si>
    <t>Installation Precast Panel For Fence</t>
  </si>
  <si>
    <t>Bitumen Coating For Fence Fondations</t>
  </si>
  <si>
    <t>Pouring Bedding Concrete For "Front" Fence Fondations</t>
  </si>
  <si>
    <t>RC Concrete For "Front" Fence Fondations</t>
  </si>
  <si>
    <t>Outdoor Drainage &amp; Water Line</t>
  </si>
  <si>
    <t>Steel Fixing &amp; Carpentry For "Front" Fence Columns</t>
  </si>
  <si>
    <t>Establishing Elec For "Front" Fence Columns</t>
  </si>
  <si>
    <t>Establishing Elec For Fence &amp; Yard</t>
  </si>
  <si>
    <t>Backfilling the Yard</t>
  </si>
  <si>
    <t>Pouring Concrete Wall Of "Front" Fence Columns</t>
  </si>
  <si>
    <t>Pouring Concrete Crown Of "Front" Fence Columns</t>
  </si>
  <si>
    <t>Bardoura Works For Yard</t>
  </si>
  <si>
    <t>Pouring Concrete Flower Basin Of "Front" Fence Columns</t>
  </si>
  <si>
    <t>Antitermite Treatment For Yard</t>
  </si>
  <si>
    <t>Pouring Concrete For Yard</t>
  </si>
  <si>
    <t>Block Work For Flower Basin</t>
  </si>
  <si>
    <t>Plastering Work For Flower Basin</t>
  </si>
  <si>
    <t>Interlock Works For The Yard</t>
  </si>
  <si>
    <t>External Grading Works For The Villa</t>
  </si>
  <si>
    <t>Installation The Exterior Door &amp; Garage Door</t>
  </si>
  <si>
    <t>Fixing Floor Drain For The Yard</t>
  </si>
  <si>
    <t>Granite Surronds Around The Villa</t>
  </si>
  <si>
    <t>Painting The Base Surface Of The Fence</t>
  </si>
  <si>
    <t>Painting The Final Face Of The Fence</t>
  </si>
  <si>
    <t>Exterior Painting Of The Villa</t>
  </si>
  <si>
    <t>Installation Elec Fixtures &amp; Accessories For The Yard</t>
  </si>
  <si>
    <t>Connection The Drain To The Piblic Network</t>
  </si>
  <si>
    <t>Pardora Works For The External Sidewalk</t>
  </si>
  <si>
    <t>Interlock Works For The Exerrnal Sidewalk</t>
  </si>
  <si>
    <t>Pulling The Villa's Main Elec Cable</t>
  </si>
  <si>
    <t>Mech Work Testing &amp; Handover</t>
  </si>
  <si>
    <t>Arch Snaglist &amp; Handover</t>
  </si>
  <si>
    <t>ElecWork Testing &amp; Handover</t>
  </si>
  <si>
    <t>Final Handover Of The Villa To The Consltant</t>
  </si>
  <si>
    <t>Customer Delivery</t>
  </si>
  <si>
    <t>Civil</t>
  </si>
  <si>
    <t>Mechanical</t>
  </si>
  <si>
    <t>Electerical</t>
  </si>
  <si>
    <t/>
  </si>
  <si>
    <t>Name</t>
  </si>
  <si>
    <t>ID</t>
  </si>
  <si>
    <t>Predecessor</t>
  </si>
  <si>
    <t>,,,</t>
  </si>
  <si>
    <t>1,,,</t>
  </si>
  <si>
    <t>2,,,</t>
  </si>
  <si>
    <t>3,,,</t>
  </si>
  <si>
    <t>4,,,</t>
  </si>
  <si>
    <t>5,,,</t>
  </si>
  <si>
    <t>6,,,</t>
  </si>
  <si>
    <t>7,,,</t>
  </si>
  <si>
    <t>8,,,</t>
  </si>
  <si>
    <t>9,,,</t>
  </si>
  <si>
    <t>10,,,</t>
  </si>
  <si>
    <t>11,10,,</t>
  </si>
  <si>
    <t>12,,,</t>
  </si>
  <si>
    <t>13,,,</t>
  </si>
  <si>
    <t>14,,,</t>
  </si>
  <si>
    <t>15,16,,</t>
  </si>
  <si>
    <t>17,,,</t>
  </si>
  <si>
    <t>19,,,</t>
  </si>
  <si>
    <t>18,,,</t>
  </si>
  <si>
    <t>22,,,</t>
  </si>
  <si>
    <t>20,21,,</t>
  </si>
  <si>
    <t>24,,,</t>
  </si>
  <si>
    <t>26,23,,</t>
  </si>
  <si>
    <t>28,,,</t>
  </si>
  <si>
    <t>29,27,,</t>
  </si>
  <si>
    <t>30,,,</t>
  </si>
  <si>
    <t>31,,,</t>
  </si>
  <si>
    <t>32,,,</t>
  </si>
  <si>
    <t>32,25,,</t>
  </si>
  <si>
    <t>33,,,</t>
  </si>
  <si>
    <t>34,,,</t>
  </si>
  <si>
    <t>32,34,27,</t>
  </si>
  <si>
    <t>35,23,,</t>
  </si>
  <si>
    <t>36,,,</t>
  </si>
  <si>
    <t>40,,,</t>
  </si>
  <si>
    <t>37,41,,</t>
  </si>
  <si>
    <t>43,,,</t>
  </si>
  <si>
    <t>44,,,</t>
  </si>
  <si>
    <t>45,,,</t>
  </si>
  <si>
    <t>46,,,</t>
  </si>
  <si>
    <t>47,,,</t>
  </si>
  <si>
    <t>48,,,</t>
  </si>
  <si>
    <t>50,,,</t>
  </si>
  <si>
    <t>49,15,,</t>
  </si>
  <si>
    <t>51,,,</t>
  </si>
  <si>
    <t>53,,,</t>
  </si>
  <si>
    <t>52,,,</t>
  </si>
  <si>
    <t>55,,,</t>
  </si>
  <si>
    <t>54,,,</t>
  </si>
  <si>
    <t>57,,,</t>
  </si>
  <si>
    <t>56,,,</t>
  </si>
  <si>
    <t>58,,,</t>
  </si>
  <si>
    <t>59,,,</t>
  </si>
  <si>
    <t>61,,,</t>
  </si>
  <si>
    <t>62,,,</t>
  </si>
  <si>
    <t>63,,,</t>
  </si>
  <si>
    <t>64,,,</t>
  </si>
  <si>
    <t>65,,,</t>
  </si>
  <si>
    <t>66,,,</t>
  </si>
  <si>
    <t>76,,,</t>
  </si>
  <si>
    <t>70,,,</t>
  </si>
  <si>
    <t>69,71,67,68</t>
  </si>
  <si>
    <t>71,72,,</t>
  </si>
  <si>
    <t>52,60,,</t>
  </si>
  <si>
    <t>65,74,,</t>
  </si>
  <si>
    <t>75,,,</t>
  </si>
  <si>
    <t>76,73,,</t>
  </si>
  <si>
    <t>74,35,39,</t>
  </si>
  <si>
    <t>76,72,41,</t>
  </si>
  <si>
    <t>77,38,,</t>
  </si>
  <si>
    <t>79,80,78,42</t>
  </si>
  <si>
    <t>81,,,</t>
  </si>
  <si>
    <t>Fence</t>
  </si>
  <si>
    <t>Architectural-1</t>
  </si>
  <si>
    <t>Architectural</t>
  </si>
  <si>
    <t>Civil-1</t>
  </si>
  <si>
    <t>Civil-2</t>
  </si>
  <si>
    <t>Civil-3</t>
  </si>
  <si>
    <t>Civil-4</t>
  </si>
  <si>
    <t>Mechanical-1</t>
  </si>
  <si>
    <t>Civil-5</t>
  </si>
  <si>
    <t>Civil-6</t>
  </si>
  <si>
    <t>Civil-7</t>
  </si>
  <si>
    <t>Mechanical-2</t>
  </si>
  <si>
    <t>Civil-8</t>
  </si>
  <si>
    <t>Civil-9</t>
  </si>
  <si>
    <t>Civil-10</t>
  </si>
  <si>
    <t>Civil-11</t>
  </si>
  <si>
    <t>Mechanical-3</t>
  </si>
  <si>
    <t>Electerical-1</t>
  </si>
  <si>
    <t>Architectural-2</t>
  </si>
  <si>
    <t>Mechanical-4</t>
  </si>
  <si>
    <t>Architectural-3</t>
  </si>
  <si>
    <t>Mechanical-5</t>
  </si>
  <si>
    <t>Electerical-2</t>
  </si>
  <si>
    <t>Architectural-4</t>
  </si>
  <si>
    <t>Architectural-5</t>
  </si>
  <si>
    <t>Architectural-6</t>
  </si>
  <si>
    <t>Architectural-7</t>
  </si>
  <si>
    <t>Architectural-8</t>
  </si>
  <si>
    <t>Electerical-3</t>
  </si>
  <si>
    <t>Architectural-9</t>
  </si>
  <si>
    <t>Architectural-10</t>
  </si>
  <si>
    <t>Architectural-11</t>
  </si>
  <si>
    <t>Architectural-12</t>
  </si>
  <si>
    <t>Architectural-13</t>
  </si>
  <si>
    <t>Architectural-14</t>
  </si>
  <si>
    <t>Architectural-15</t>
  </si>
  <si>
    <t>Mechanical-6</t>
  </si>
  <si>
    <t>Architectural-16</t>
  </si>
  <si>
    <t>Architectural-17</t>
  </si>
  <si>
    <t>Electerical-4</t>
  </si>
  <si>
    <t>Mechanical-7</t>
  </si>
  <si>
    <t>Architectural-18</t>
  </si>
  <si>
    <t>Architectural-19</t>
  </si>
  <si>
    <t>Architectural-20</t>
  </si>
  <si>
    <t>Fence-1</t>
  </si>
  <si>
    <t>Fence-2</t>
  </si>
  <si>
    <t>Fence-3</t>
  </si>
  <si>
    <t>Electerical-5</t>
  </si>
  <si>
    <t>Fence-4</t>
  </si>
  <si>
    <t>Fence-5</t>
  </si>
  <si>
    <t>Fence-6</t>
  </si>
  <si>
    <t>Fence-7</t>
  </si>
  <si>
    <t>Fence-8</t>
  </si>
  <si>
    <t>Mechanical-8</t>
  </si>
  <si>
    <t>Fence-9</t>
  </si>
  <si>
    <t>Electerical-6</t>
  </si>
  <si>
    <t>Electerical-7</t>
  </si>
  <si>
    <t>Fence-10</t>
  </si>
  <si>
    <t>Fence-11</t>
  </si>
  <si>
    <t>Fence-12</t>
  </si>
  <si>
    <t>Architectural-21</t>
  </si>
  <si>
    <t>Fence-13</t>
  </si>
  <si>
    <t>Fence-14</t>
  </si>
  <si>
    <t>Fence-15</t>
  </si>
  <si>
    <t>Architectural-22</t>
  </si>
  <si>
    <t>Architectural-23</t>
  </si>
  <si>
    <t>Architectural-24</t>
  </si>
  <si>
    <t>Architectural-25</t>
  </si>
  <si>
    <t>Architectural-26</t>
  </si>
  <si>
    <t>Mechanical-9</t>
  </si>
  <si>
    <t>Architectural-27</t>
  </si>
  <si>
    <t>Architectural-28</t>
  </si>
  <si>
    <t>Architectural-29</t>
  </si>
  <si>
    <t>Architectural-30</t>
  </si>
  <si>
    <t>Electerical-8</t>
  </si>
  <si>
    <t>Mechanical-10</t>
  </si>
  <si>
    <t>Architectural-31</t>
  </si>
  <si>
    <t>Architectural-32</t>
  </si>
  <si>
    <t>Electerical-9</t>
  </si>
  <si>
    <t>Mechanical-11</t>
  </si>
  <si>
    <t>Architectural-33</t>
  </si>
  <si>
    <t>Electerical-10</t>
  </si>
  <si>
    <t>Architectural-34</t>
  </si>
  <si>
    <t>Architectural-35</t>
  </si>
  <si>
    <t>villaID</t>
  </si>
  <si>
    <t>Completed</t>
  </si>
  <si>
    <t>NotStarted</t>
  </si>
  <si>
    <t>V_2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</si>
</sst>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8">
    <xf numFmtId="0" fontId="0" fillId="0" borderId="0" xfId="0"/>
    <xf numFmtId="43" fontId="0" fillId="0" borderId="0" xfId="1" applyFont="1"/>
    <xf numFmtId="0" fontId="0" fillId="2" borderId="0" xfId="0" applyFill="1"/>
    <xf numFmtId="43" fontId="0" fillId="0" borderId="0" xfId="0" applyNumberFormat="1"/>
    <xf numFmtId="10" fontId="0" fillId="0" borderId="0" xfId="2" applyNumberFormat="1" applyFont="1"/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center" vertical="center" wrapText="1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1359BD-633D-40FB-B916-D679F9E6F380}">
  <sheetPr codeName="Sheet2"/>
  <dimension ref="A1:T86"/>
  <sheetViews>
    <sheetView view="pageBreakPreview" zoomScale="60" zoomScaleNormal="115" workbookViewId="0">
      <selection activeCell="D1" sqref="D1"/>
    </sheetView>
  </sheetViews>
  <sheetFormatPr defaultRowHeight="14.4" x14ac:dyDescent="0.3"/>
  <cols>
    <col min="1" max="1" width="45.77734375" style="5" customWidth="1"/>
    <col min="2" max="4" width="17.44140625" style="5" customWidth="1"/>
    <col min="5" max="5" width="16.6640625" style="5" customWidth="1"/>
    <col min="6" max="6" width="15.33203125" customWidth="1"/>
    <col min="7" max="7" width="9.5546875" bestFit="1" customWidth="1"/>
  </cols>
  <sheetData>
    <row r="1" spans="1:20" x14ac:dyDescent="0.3">
      <c r="A1" s="5" t="s">
        <v>86</v>
      </c>
      <c r="D1" s="5" t="s">
        <v>87</v>
      </c>
      <c r="E1" s="5" t="s">
        <v>88</v>
      </c>
    </row>
    <row r="2" spans="1:20" x14ac:dyDescent="0.3">
      <c r="A2" s="5" t="s">
        <v>0</v>
      </c>
      <c r="B2" s="5" t="s">
        <v>82</v>
      </c>
      <c r="C2" s="5" t="s">
        <v>164</v>
      </c>
      <c r="D2" s="5">
        <v>1</v>
      </c>
      <c r="E2" s="5" t="s">
        <v>89</v>
      </c>
      <c r="F2" s="1">
        <v>20443.22</v>
      </c>
      <c r="G2" s="4">
        <f>F2/$F$85</f>
        <v>3.654817631414442E-2</v>
      </c>
      <c r="P2" t="s">
        <v>85</v>
      </c>
      <c r="Q2" t="s">
        <v>85</v>
      </c>
      <c r="R2" t="s">
        <v>85</v>
      </c>
      <c r="S2" t="s">
        <v>85</v>
      </c>
      <c r="T2" t="str">
        <f>_xlfn.CONCAT(P2,"-",Q2,"-",R2,"-",S2)</f>
        <v>---</v>
      </c>
    </row>
    <row r="3" spans="1:20" x14ac:dyDescent="0.3">
      <c r="A3" s="5" t="s">
        <v>1</v>
      </c>
      <c r="B3" s="5" t="s">
        <v>82</v>
      </c>
      <c r="C3" s="5" t="s">
        <v>165</v>
      </c>
      <c r="D3" s="5">
        <v>2</v>
      </c>
      <c r="E3" s="5" t="s">
        <v>90</v>
      </c>
      <c r="F3" s="1">
        <v>4737.46</v>
      </c>
      <c r="G3" s="4">
        <f t="shared" ref="G3:G66" si="0">F3/$F$85</f>
        <v>8.4695817665322113E-3</v>
      </c>
      <c r="P3">
        <v>1</v>
      </c>
      <c r="Q3" t="s">
        <v>85</v>
      </c>
      <c r="R3" t="s">
        <v>85</v>
      </c>
      <c r="S3" t="s">
        <v>85</v>
      </c>
      <c r="T3" t="str">
        <f t="shared" ref="T3:T66" si="1">_xlfn.CONCAT(P3,"-",Q3,"-",R3,"-",S3)</f>
        <v>1---</v>
      </c>
    </row>
    <row r="4" spans="1:20" x14ac:dyDescent="0.3">
      <c r="A4" s="5" t="s">
        <v>2</v>
      </c>
      <c r="B4" s="5" t="s">
        <v>82</v>
      </c>
      <c r="C4" s="5" t="s">
        <v>166</v>
      </c>
      <c r="D4" s="5">
        <v>3</v>
      </c>
      <c r="E4" s="5" t="s">
        <v>91</v>
      </c>
      <c r="F4" s="1">
        <v>25169.49</v>
      </c>
      <c r="G4" s="4">
        <f t="shared" si="0"/>
        <v>4.4997752714938985E-2</v>
      </c>
      <c r="P4">
        <v>2</v>
      </c>
      <c r="Q4" t="s">
        <v>85</v>
      </c>
      <c r="R4" t="s">
        <v>85</v>
      </c>
      <c r="S4" t="s">
        <v>85</v>
      </c>
      <c r="T4" t="str">
        <f t="shared" si="1"/>
        <v>2---</v>
      </c>
    </row>
    <row r="5" spans="1:20" x14ac:dyDescent="0.3">
      <c r="A5" s="5" t="s">
        <v>3</v>
      </c>
      <c r="B5" s="5" t="s">
        <v>82</v>
      </c>
      <c r="C5" s="5" t="s">
        <v>167</v>
      </c>
      <c r="D5" s="5">
        <v>4</v>
      </c>
      <c r="E5" s="5" t="s">
        <v>92</v>
      </c>
      <c r="F5" s="1">
        <v>5593.22</v>
      </c>
      <c r="G5" s="4">
        <f t="shared" si="0"/>
        <v>9.9995006033197741E-3</v>
      </c>
      <c r="P5">
        <v>3</v>
      </c>
      <c r="Q5" t="s">
        <v>85</v>
      </c>
      <c r="R5" t="s">
        <v>85</v>
      </c>
      <c r="S5" t="s">
        <v>85</v>
      </c>
      <c r="T5" t="str">
        <f t="shared" si="1"/>
        <v>3---</v>
      </c>
    </row>
    <row r="6" spans="1:20" x14ac:dyDescent="0.3">
      <c r="A6" s="5" t="s">
        <v>4</v>
      </c>
      <c r="B6" s="5" t="s">
        <v>83</v>
      </c>
      <c r="C6" s="5" t="s">
        <v>168</v>
      </c>
      <c r="D6" s="5">
        <v>5</v>
      </c>
      <c r="E6" s="5" t="s">
        <v>93</v>
      </c>
      <c r="F6" s="1">
        <v>0</v>
      </c>
      <c r="G6" s="4">
        <f t="shared" si="0"/>
        <v>0</v>
      </c>
      <c r="P6">
        <v>4</v>
      </c>
      <c r="Q6" t="s">
        <v>85</v>
      </c>
      <c r="R6" t="s">
        <v>85</v>
      </c>
      <c r="S6" t="s">
        <v>85</v>
      </c>
      <c r="T6" t="str">
        <f t="shared" si="1"/>
        <v>4---</v>
      </c>
    </row>
    <row r="7" spans="1:20" x14ac:dyDescent="0.3">
      <c r="A7" s="5" t="s">
        <v>5</v>
      </c>
      <c r="B7" s="5" t="s">
        <v>82</v>
      </c>
      <c r="C7" s="5" t="s">
        <v>169</v>
      </c>
      <c r="D7" s="5">
        <v>6</v>
      </c>
      <c r="E7" s="5" t="s">
        <v>94</v>
      </c>
      <c r="F7" s="1">
        <v>9642.7099999999991</v>
      </c>
      <c r="G7" s="4">
        <f t="shared" si="0"/>
        <v>1.7239136751752586E-2</v>
      </c>
      <c r="P7">
        <v>5</v>
      </c>
      <c r="Q7" t="s">
        <v>85</v>
      </c>
      <c r="R7" t="s">
        <v>85</v>
      </c>
      <c r="S7" t="s">
        <v>85</v>
      </c>
      <c r="T7" t="str">
        <f t="shared" si="1"/>
        <v>5---</v>
      </c>
    </row>
    <row r="8" spans="1:20" x14ac:dyDescent="0.3">
      <c r="A8" s="5" t="s">
        <v>6</v>
      </c>
      <c r="B8" s="5" t="s">
        <v>82</v>
      </c>
      <c r="C8" s="5" t="s">
        <v>170</v>
      </c>
      <c r="D8" s="5">
        <v>7</v>
      </c>
      <c r="E8" s="5" t="s">
        <v>95</v>
      </c>
      <c r="F8" s="1">
        <v>2796.61</v>
      </c>
      <c r="G8" s="4">
        <f t="shared" si="0"/>
        <v>4.999750301659887E-3</v>
      </c>
      <c r="P8">
        <v>6</v>
      </c>
      <c r="Q8" t="s">
        <v>85</v>
      </c>
      <c r="R8" t="s">
        <v>85</v>
      </c>
      <c r="S8" t="s">
        <v>85</v>
      </c>
      <c r="T8" t="str">
        <f t="shared" si="1"/>
        <v>6---</v>
      </c>
    </row>
    <row r="9" spans="1:20" x14ac:dyDescent="0.3">
      <c r="A9" s="5" t="s">
        <v>7</v>
      </c>
      <c r="B9" s="5" t="s">
        <v>82</v>
      </c>
      <c r="C9" s="5" t="s">
        <v>171</v>
      </c>
      <c r="D9" s="5">
        <v>8</v>
      </c>
      <c r="E9" s="5" t="s">
        <v>96</v>
      </c>
      <c r="F9" s="1">
        <v>1398.3</v>
      </c>
      <c r="G9" s="4">
        <f t="shared" si="0"/>
        <v>2.4998662118818926E-3</v>
      </c>
      <c r="P9">
        <v>7</v>
      </c>
      <c r="Q9" t="s">
        <v>85</v>
      </c>
      <c r="R9" t="s">
        <v>85</v>
      </c>
      <c r="S9" t="s">
        <v>85</v>
      </c>
      <c r="T9" t="str">
        <f t="shared" si="1"/>
        <v>7---</v>
      </c>
    </row>
    <row r="10" spans="1:20" x14ac:dyDescent="0.3">
      <c r="A10" s="5" t="s">
        <v>8</v>
      </c>
      <c r="B10" s="5" t="s">
        <v>83</v>
      </c>
      <c r="C10" s="5" t="s">
        <v>172</v>
      </c>
      <c r="D10" s="5">
        <v>9</v>
      </c>
      <c r="E10" s="5" t="s">
        <v>97</v>
      </c>
      <c r="F10" s="1">
        <v>1677.97</v>
      </c>
      <c r="G10" s="4">
        <f t="shared" si="0"/>
        <v>2.9998573321543729E-3</v>
      </c>
      <c r="P10">
        <v>8</v>
      </c>
      <c r="Q10" t="s">
        <v>85</v>
      </c>
      <c r="R10" t="s">
        <v>85</v>
      </c>
      <c r="S10" t="s">
        <v>85</v>
      </c>
      <c r="T10" t="str">
        <f t="shared" si="1"/>
        <v>8---</v>
      </c>
    </row>
    <row r="11" spans="1:20" x14ac:dyDescent="0.3">
      <c r="A11" s="5" t="s">
        <v>9</v>
      </c>
      <c r="B11" s="5" t="s">
        <v>82</v>
      </c>
      <c r="C11" s="5" t="s">
        <v>173</v>
      </c>
      <c r="D11" s="5">
        <v>10</v>
      </c>
      <c r="E11" s="5" t="s">
        <v>98</v>
      </c>
      <c r="F11" s="1">
        <v>1280.8499999999999</v>
      </c>
      <c r="G11" s="4">
        <f t="shared" si="0"/>
        <v>2.2898903221690065E-3</v>
      </c>
      <c r="P11">
        <v>9</v>
      </c>
      <c r="Q11" t="s">
        <v>85</v>
      </c>
      <c r="R11" t="s">
        <v>85</v>
      </c>
      <c r="S11" t="s">
        <v>85</v>
      </c>
      <c r="T11" t="str">
        <f t="shared" si="1"/>
        <v>9---</v>
      </c>
    </row>
    <row r="12" spans="1:20" x14ac:dyDescent="0.3">
      <c r="A12" s="5" t="s">
        <v>10</v>
      </c>
      <c r="B12" s="5" t="s">
        <v>82</v>
      </c>
      <c r="C12" s="5" t="s">
        <v>174</v>
      </c>
      <c r="D12" s="5">
        <v>11</v>
      </c>
      <c r="E12" s="5" t="s">
        <v>99</v>
      </c>
      <c r="F12" s="1">
        <v>279.66000000000003</v>
      </c>
      <c r="G12" s="4">
        <f t="shared" si="0"/>
        <v>4.9997324237637854E-4</v>
      </c>
      <c r="P12">
        <v>10</v>
      </c>
      <c r="Q12" t="s">
        <v>85</v>
      </c>
      <c r="R12" t="s">
        <v>85</v>
      </c>
      <c r="S12" t="s">
        <v>85</v>
      </c>
      <c r="T12" t="str">
        <f t="shared" si="1"/>
        <v>10---</v>
      </c>
    </row>
    <row r="13" spans="1:20" x14ac:dyDescent="0.3">
      <c r="A13" s="5" t="s">
        <v>11</v>
      </c>
      <c r="B13" s="5" t="s">
        <v>82</v>
      </c>
      <c r="C13" s="5" t="s">
        <v>175</v>
      </c>
      <c r="D13" s="5">
        <v>12</v>
      </c>
      <c r="E13" s="5" t="s">
        <v>100</v>
      </c>
      <c r="F13" s="1">
        <v>7271.19</v>
      </c>
      <c r="G13" s="4">
        <f t="shared" si="0"/>
        <v>1.2999357935474146E-2</v>
      </c>
      <c r="P13">
        <v>11</v>
      </c>
      <c r="Q13">
        <v>10</v>
      </c>
      <c r="R13" t="s">
        <v>85</v>
      </c>
      <c r="S13" t="s">
        <v>85</v>
      </c>
      <c r="T13" t="str">
        <f t="shared" si="1"/>
        <v>11-10--</v>
      </c>
    </row>
    <row r="14" spans="1:20" x14ac:dyDescent="0.3">
      <c r="A14" s="5" t="s">
        <v>12</v>
      </c>
      <c r="B14" s="5" t="s">
        <v>82</v>
      </c>
      <c r="C14" s="5" t="s">
        <v>176</v>
      </c>
      <c r="D14" s="5">
        <v>13</v>
      </c>
      <c r="E14" s="5" t="s">
        <v>101</v>
      </c>
      <c r="F14" s="1">
        <v>189229.82</v>
      </c>
      <c r="G14" s="4">
        <f t="shared" si="0"/>
        <v>0.33830310612779263</v>
      </c>
      <c r="P14">
        <v>12</v>
      </c>
      <c r="Q14" t="s">
        <v>85</v>
      </c>
      <c r="R14" t="s">
        <v>85</v>
      </c>
      <c r="S14" t="s">
        <v>85</v>
      </c>
      <c r="T14" t="str">
        <f t="shared" si="1"/>
        <v>12---</v>
      </c>
    </row>
    <row r="15" spans="1:20" x14ac:dyDescent="0.3">
      <c r="A15" s="5" t="s">
        <v>13</v>
      </c>
      <c r="B15" s="5" t="s">
        <v>163</v>
      </c>
      <c r="C15" s="5" t="s">
        <v>162</v>
      </c>
      <c r="D15" s="5">
        <v>14</v>
      </c>
      <c r="E15" s="5" t="s">
        <v>102</v>
      </c>
      <c r="F15" s="1">
        <v>1705.93</v>
      </c>
      <c r="G15" s="4">
        <f t="shared" si="0"/>
        <v>3.0498439296543496E-3</v>
      </c>
      <c r="P15">
        <v>13</v>
      </c>
      <c r="Q15" t="s">
        <v>85</v>
      </c>
      <c r="R15" t="s">
        <v>85</v>
      </c>
      <c r="S15" t="s">
        <v>85</v>
      </c>
      <c r="T15" t="str">
        <f t="shared" si="1"/>
        <v>13---</v>
      </c>
    </row>
    <row r="16" spans="1:20" x14ac:dyDescent="0.3">
      <c r="A16" s="5" t="s">
        <v>14</v>
      </c>
      <c r="B16" s="5" t="s">
        <v>83</v>
      </c>
      <c r="C16" s="5" t="s">
        <v>177</v>
      </c>
      <c r="D16" s="5">
        <v>15</v>
      </c>
      <c r="E16" s="5" t="s">
        <v>103</v>
      </c>
      <c r="F16" s="1">
        <v>11186.44</v>
      </c>
      <c r="G16" s="4">
        <f t="shared" si="0"/>
        <v>1.9999001206639548E-2</v>
      </c>
      <c r="P16">
        <v>14</v>
      </c>
      <c r="Q16" t="s">
        <v>85</v>
      </c>
      <c r="R16" t="s">
        <v>85</v>
      </c>
      <c r="S16" t="s">
        <v>85</v>
      </c>
      <c r="T16" t="str">
        <f t="shared" si="1"/>
        <v>14---</v>
      </c>
    </row>
    <row r="17" spans="1:20" x14ac:dyDescent="0.3">
      <c r="A17" s="5" t="s">
        <v>15</v>
      </c>
      <c r="B17" s="5" t="s">
        <v>84</v>
      </c>
      <c r="C17" s="5" t="s">
        <v>178</v>
      </c>
      <c r="D17" s="5">
        <v>16</v>
      </c>
      <c r="E17" s="5" t="s">
        <v>103</v>
      </c>
      <c r="F17" s="1">
        <v>3355.93</v>
      </c>
      <c r="G17" s="4">
        <f t="shared" si="0"/>
        <v>5.9996967864126439E-3</v>
      </c>
      <c r="P17">
        <v>14</v>
      </c>
      <c r="Q17" t="s">
        <v>85</v>
      </c>
      <c r="R17" t="s">
        <v>85</v>
      </c>
      <c r="S17" t="s">
        <v>85</v>
      </c>
      <c r="T17" t="str">
        <f t="shared" si="1"/>
        <v>14---</v>
      </c>
    </row>
    <row r="18" spans="1:20" x14ac:dyDescent="0.3">
      <c r="A18" s="5" t="s">
        <v>16</v>
      </c>
      <c r="B18" s="5" t="s">
        <v>163</v>
      </c>
      <c r="C18" s="5" t="s">
        <v>179</v>
      </c>
      <c r="D18" s="5">
        <v>17</v>
      </c>
      <c r="E18" s="5" t="s">
        <v>104</v>
      </c>
      <c r="F18" s="1">
        <v>33559.32</v>
      </c>
      <c r="G18" s="4">
        <f t="shared" si="0"/>
        <v>5.9997003619918637E-2</v>
      </c>
      <c r="P18">
        <v>15</v>
      </c>
      <c r="Q18">
        <v>16</v>
      </c>
      <c r="R18" t="s">
        <v>85</v>
      </c>
      <c r="S18" t="s">
        <v>85</v>
      </c>
      <c r="T18" t="str">
        <f t="shared" si="1"/>
        <v>15-16--</v>
      </c>
    </row>
    <row r="19" spans="1:20" x14ac:dyDescent="0.3">
      <c r="A19" s="5" t="s">
        <v>17</v>
      </c>
      <c r="B19" s="5" t="s">
        <v>83</v>
      </c>
      <c r="C19" s="5" t="s">
        <v>180</v>
      </c>
      <c r="D19" s="5">
        <v>18</v>
      </c>
      <c r="E19" s="5" t="s">
        <v>105</v>
      </c>
      <c r="F19" s="1">
        <v>0</v>
      </c>
      <c r="G19" s="4">
        <f t="shared" si="0"/>
        <v>0</v>
      </c>
      <c r="P19">
        <v>17</v>
      </c>
      <c r="Q19" t="s">
        <v>85</v>
      </c>
      <c r="R19" t="s">
        <v>85</v>
      </c>
      <c r="S19" t="s">
        <v>85</v>
      </c>
      <c r="T19" t="str">
        <f t="shared" si="1"/>
        <v>17---</v>
      </c>
    </row>
    <row r="20" spans="1:20" x14ac:dyDescent="0.3">
      <c r="A20" s="5" t="s">
        <v>18</v>
      </c>
      <c r="B20" s="5" t="s">
        <v>163</v>
      </c>
      <c r="C20" s="5" t="s">
        <v>181</v>
      </c>
      <c r="D20" s="5">
        <v>19</v>
      </c>
      <c r="E20" s="5" t="s">
        <v>105</v>
      </c>
      <c r="F20" s="1">
        <v>2567.29</v>
      </c>
      <c r="G20" s="4">
        <f t="shared" si="0"/>
        <v>4.5897743882587884E-3</v>
      </c>
      <c r="P20">
        <v>17</v>
      </c>
      <c r="Q20" t="s">
        <v>85</v>
      </c>
      <c r="R20" t="s">
        <v>85</v>
      </c>
      <c r="S20" t="s">
        <v>85</v>
      </c>
      <c r="T20" t="str">
        <f t="shared" si="1"/>
        <v>17---</v>
      </c>
    </row>
    <row r="21" spans="1:20" x14ac:dyDescent="0.3">
      <c r="A21" s="5" t="s">
        <v>19</v>
      </c>
      <c r="B21" s="5" t="s">
        <v>83</v>
      </c>
      <c r="C21" s="5" t="s">
        <v>182</v>
      </c>
      <c r="D21" s="5">
        <v>20</v>
      </c>
      <c r="E21" s="5" t="s">
        <v>106</v>
      </c>
      <c r="F21" s="1">
        <v>5032.6412499999997</v>
      </c>
      <c r="G21" s="4">
        <f t="shared" si="0"/>
        <v>8.997303738395232E-3</v>
      </c>
      <c r="P21">
        <v>19</v>
      </c>
      <c r="Q21" t="s">
        <v>85</v>
      </c>
      <c r="R21" t="s">
        <v>85</v>
      </c>
      <c r="S21" t="s">
        <v>85</v>
      </c>
      <c r="T21" t="str">
        <f t="shared" si="1"/>
        <v>19---</v>
      </c>
    </row>
    <row r="22" spans="1:20" x14ac:dyDescent="0.3">
      <c r="A22" s="5" t="s">
        <v>20</v>
      </c>
      <c r="B22" s="5" t="s">
        <v>84</v>
      </c>
      <c r="C22" s="5" t="s">
        <v>183</v>
      </c>
      <c r="D22" s="5">
        <v>21</v>
      </c>
      <c r="E22" s="5" t="s">
        <v>106</v>
      </c>
      <c r="F22" s="1">
        <v>3355.0912499999999</v>
      </c>
      <c r="G22" s="4">
        <f t="shared" si="0"/>
        <v>5.9981972778771252E-3</v>
      </c>
      <c r="P22">
        <v>19</v>
      </c>
      <c r="Q22" t="s">
        <v>85</v>
      </c>
      <c r="R22" t="s">
        <v>85</v>
      </c>
      <c r="S22" t="s">
        <v>85</v>
      </c>
      <c r="T22" t="str">
        <f t="shared" si="1"/>
        <v>19---</v>
      </c>
    </row>
    <row r="23" spans="1:20" x14ac:dyDescent="0.3">
      <c r="A23" s="5" t="s">
        <v>21</v>
      </c>
      <c r="B23" s="5" t="s">
        <v>163</v>
      </c>
      <c r="C23" s="5" t="s">
        <v>184</v>
      </c>
      <c r="D23" s="5">
        <v>22</v>
      </c>
      <c r="E23" s="5" t="s">
        <v>107</v>
      </c>
      <c r="F23" s="1">
        <v>4066.27</v>
      </c>
      <c r="G23" s="4">
        <f t="shared" si="0"/>
        <v>7.2696352580912419E-3</v>
      </c>
      <c r="P23">
        <v>18</v>
      </c>
      <c r="Q23" t="s">
        <v>85</v>
      </c>
      <c r="R23" t="s">
        <v>85</v>
      </c>
      <c r="S23" t="s">
        <v>85</v>
      </c>
      <c r="T23" t="str">
        <f t="shared" si="1"/>
        <v>18---</v>
      </c>
    </row>
    <row r="24" spans="1:20" x14ac:dyDescent="0.3">
      <c r="A24" s="5" t="s">
        <v>22</v>
      </c>
      <c r="B24" s="5" t="s">
        <v>163</v>
      </c>
      <c r="C24" s="5" t="s">
        <v>185</v>
      </c>
      <c r="D24" s="5">
        <v>23</v>
      </c>
      <c r="E24" s="5" t="s">
        <v>108</v>
      </c>
      <c r="F24" s="1">
        <v>7897.62</v>
      </c>
      <c r="G24" s="4">
        <f t="shared" si="0"/>
        <v>1.4119282980964508E-2</v>
      </c>
      <c r="P24">
        <v>22</v>
      </c>
      <c r="Q24" t="s">
        <v>85</v>
      </c>
      <c r="R24" t="s">
        <v>85</v>
      </c>
      <c r="S24" t="s">
        <v>85</v>
      </c>
      <c r="T24" t="str">
        <f t="shared" si="1"/>
        <v>22---</v>
      </c>
    </row>
    <row r="25" spans="1:20" x14ac:dyDescent="0.3">
      <c r="A25" s="5" t="s">
        <v>23</v>
      </c>
      <c r="B25" s="5" t="s">
        <v>163</v>
      </c>
      <c r="C25" s="5" t="s">
        <v>186</v>
      </c>
      <c r="D25" s="5">
        <v>24</v>
      </c>
      <c r="E25" s="5" t="s">
        <v>109</v>
      </c>
      <c r="F25" s="1">
        <v>6158.13</v>
      </c>
      <c r="G25" s="4">
        <f t="shared" si="0"/>
        <v>1.1009440831993306E-2</v>
      </c>
      <c r="P25">
        <v>20</v>
      </c>
      <c r="Q25">
        <v>21</v>
      </c>
      <c r="R25" t="s">
        <v>85</v>
      </c>
      <c r="S25" t="s">
        <v>85</v>
      </c>
      <c r="T25" t="str">
        <f t="shared" si="1"/>
        <v>20-21--</v>
      </c>
    </row>
    <row r="26" spans="1:20" x14ac:dyDescent="0.3">
      <c r="A26" s="5" t="s">
        <v>24</v>
      </c>
      <c r="B26" s="5" t="s">
        <v>163</v>
      </c>
      <c r="C26" s="5" t="s">
        <v>187</v>
      </c>
      <c r="D26" s="5">
        <v>25</v>
      </c>
      <c r="E26" s="5" t="s">
        <v>110</v>
      </c>
      <c r="F26" s="1">
        <v>11436.83625</v>
      </c>
      <c r="G26" s="4">
        <f t="shared" si="0"/>
        <v>2.0446657020811707E-2</v>
      </c>
      <c r="P26">
        <v>24</v>
      </c>
      <c r="Q26" t="s">
        <v>85</v>
      </c>
      <c r="R26" t="s">
        <v>85</v>
      </c>
      <c r="S26" t="s">
        <v>85</v>
      </c>
      <c r="T26" t="str">
        <f t="shared" si="1"/>
        <v>24---</v>
      </c>
    </row>
    <row r="27" spans="1:20" x14ac:dyDescent="0.3">
      <c r="A27" s="5" t="s">
        <v>25</v>
      </c>
      <c r="B27" s="5" t="s">
        <v>163</v>
      </c>
      <c r="C27" s="5" t="s">
        <v>188</v>
      </c>
      <c r="D27" s="5">
        <v>26</v>
      </c>
      <c r="E27" s="5" t="s">
        <v>110</v>
      </c>
      <c r="F27" s="1">
        <v>16.78</v>
      </c>
      <c r="G27" s="4">
        <f t="shared" si="0"/>
        <v>2.9999109658426777E-5</v>
      </c>
      <c r="P27">
        <v>24</v>
      </c>
      <c r="Q27" t="s">
        <v>85</v>
      </c>
      <c r="R27" t="s">
        <v>85</v>
      </c>
      <c r="S27" t="s">
        <v>85</v>
      </c>
      <c r="T27" t="str">
        <f t="shared" si="1"/>
        <v>24---</v>
      </c>
    </row>
    <row r="28" spans="1:20" x14ac:dyDescent="0.3">
      <c r="A28" s="5" t="s">
        <v>26</v>
      </c>
      <c r="B28" s="5" t="s">
        <v>84</v>
      </c>
      <c r="C28" s="5" t="s">
        <v>189</v>
      </c>
      <c r="D28" s="5">
        <v>27</v>
      </c>
      <c r="E28" s="5" t="s">
        <v>110</v>
      </c>
      <c r="F28" s="1">
        <v>10067.799999999999</v>
      </c>
      <c r="G28" s="4">
        <f t="shared" si="0"/>
        <v>1.7999108237134031E-2</v>
      </c>
      <c r="P28">
        <v>24</v>
      </c>
      <c r="Q28" t="s">
        <v>85</v>
      </c>
      <c r="R28" t="s">
        <v>85</v>
      </c>
      <c r="S28" t="s">
        <v>85</v>
      </c>
      <c r="T28" t="str">
        <f t="shared" si="1"/>
        <v>24---</v>
      </c>
    </row>
    <row r="29" spans="1:20" x14ac:dyDescent="0.3">
      <c r="A29" s="5" t="s">
        <v>27</v>
      </c>
      <c r="B29" s="5" t="s">
        <v>163</v>
      </c>
      <c r="C29" s="5" t="s">
        <v>190</v>
      </c>
      <c r="D29" s="5">
        <v>28</v>
      </c>
      <c r="E29" s="5" t="s">
        <v>111</v>
      </c>
      <c r="F29" s="1">
        <v>9150.51</v>
      </c>
      <c r="G29" s="4">
        <f t="shared" si="0"/>
        <v>1.6359186705633539E-2</v>
      </c>
      <c r="P29">
        <v>26</v>
      </c>
      <c r="Q29">
        <v>23</v>
      </c>
      <c r="R29" t="s">
        <v>85</v>
      </c>
      <c r="S29" t="s">
        <v>85</v>
      </c>
      <c r="T29" t="str">
        <f t="shared" si="1"/>
        <v>26-23--</v>
      </c>
    </row>
    <row r="30" spans="1:20" x14ac:dyDescent="0.3">
      <c r="A30" s="5" t="s">
        <v>28</v>
      </c>
      <c r="B30" s="5" t="s">
        <v>163</v>
      </c>
      <c r="C30" s="5" t="s">
        <v>191</v>
      </c>
      <c r="D30" s="5">
        <v>29</v>
      </c>
      <c r="E30" s="5" t="s">
        <v>112</v>
      </c>
      <c r="F30" s="1">
        <v>4194.8999999999996</v>
      </c>
      <c r="G30" s="4">
        <f t="shared" si="0"/>
        <v>7.4995986356456773E-3</v>
      </c>
      <c r="P30">
        <v>28</v>
      </c>
      <c r="Q30" t="s">
        <v>85</v>
      </c>
      <c r="R30" t="s">
        <v>85</v>
      </c>
      <c r="S30" t="s">
        <v>85</v>
      </c>
      <c r="T30" t="str">
        <f t="shared" si="1"/>
        <v>28---</v>
      </c>
    </row>
    <row r="31" spans="1:20" x14ac:dyDescent="0.3">
      <c r="A31" s="5" t="s">
        <v>29</v>
      </c>
      <c r="B31" s="5" t="s">
        <v>163</v>
      </c>
      <c r="C31" s="5" t="s">
        <v>192</v>
      </c>
      <c r="D31" s="5">
        <v>30</v>
      </c>
      <c r="E31" s="5" t="s">
        <v>113</v>
      </c>
      <c r="F31" s="1">
        <v>4474.58</v>
      </c>
      <c r="G31" s="4">
        <f t="shared" si="0"/>
        <v>7.9996076338142586E-3</v>
      </c>
      <c r="P31">
        <v>29</v>
      </c>
      <c r="Q31">
        <v>27</v>
      </c>
      <c r="R31" t="s">
        <v>85</v>
      </c>
      <c r="S31" t="s">
        <v>85</v>
      </c>
      <c r="T31" t="str">
        <f t="shared" si="1"/>
        <v>29-27--</v>
      </c>
    </row>
    <row r="32" spans="1:20" x14ac:dyDescent="0.3">
      <c r="A32" s="5" t="s">
        <v>30</v>
      </c>
      <c r="B32" s="5" t="s">
        <v>163</v>
      </c>
      <c r="C32" s="5" t="s">
        <v>193</v>
      </c>
      <c r="D32" s="5">
        <v>31</v>
      </c>
      <c r="E32" s="5" t="s">
        <v>114</v>
      </c>
      <c r="F32" s="1">
        <v>1381.53</v>
      </c>
      <c r="G32" s="4">
        <f t="shared" si="0"/>
        <v>2.4698849801195674E-3</v>
      </c>
      <c r="P32">
        <v>30</v>
      </c>
      <c r="Q32" t="s">
        <v>85</v>
      </c>
      <c r="R32" t="s">
        <v>85</v>
      </c>
      <c r="S32" t="s">
        <v>85</v>
      </c>
      <c r="T32" t="str">
        <f t="shared" si="1"/>
        <v>30---</v>
      </c>
    </row>
    <row r="33" spans="1:20" x14ac:dyDescent="0.3">
      <c r="A33" s="5" t="s">
        <v>31</v>
      </c>
      <c r="B33" s="5" t="s">
        <v>163</v>
      </c>
      <c r="C33" s="5" t="s">
        <v>194</v>
      </c>
      <c r="D33" s="5">
        <v>32</v>
      </c>
      <c r="E33" s="5" t="s">
        <v>115</v>
      </c>
      <c r="F33" s="1">
        <v>7773.5987500000001</v>
      </c>
      <c r="G33" s="4">
        <f t="shared" si="0"/>
        <v>1.3897559078775882E-2</v>
      </c>
      <c r="P33">
        <v>31</v>
      </c>
      <c r="Q33" t="s">
        <v>85</v>
      </c>
      <c r="R33" t="s">
        <v>85</v>
      </c>
      <c r="S33" t="s">
        <v>85</v>
      </c>
      <c r="T33" t="str">
        <f t="shared" si="1"/>
        <v>31---</v>
      </c>
    </row>
    <row r="34" spans="1:20" x14ac:dyDescent="0.3">
      <c r="A34" s="5" t="s">
        <v>32</v>
      </c>
      <c r="B34" s="5" t="s">
        <v>163</v>
      </c>
      <c r="C34" s="5" t="s">
        <v>195</v>
      </c>
      <c r="D34" s="5">
        <v>33</v>
      </c>
      <c r="E34" s="5" t="s">
        <v>116</v>
      </c>
      <c r="F34" s="1">
        <v>2796.61</v>
      </c>
      <c r="G34" s="4">
        <f t="shared" si="0"/>
        <v>4.999750301659887E-3</v>
      </c>
      <c r="P34">
        <v>32</v>
      </c>
      <c r="Q34" t="s">
        <v>85</v>
      </c>
      <c r="R34" t="s">
        <v>85</v>
      </c>
      <c r="S34" t="s">
        <v>85</v>
      </c>
      <c r="T34" t="str">
        <f t="shared" si="1"/>
        <v>32---</v>
      </c>
    </row>
    <row r="35" spans="1:20" x14ac:dyDescent="0.3">
      <c r="A35" s="5" t="s">
        <v>33</v>
      </c>
      <c r="B35" s="5" t="s">
        <v>163</v>
      </c>
      <c r="C35" s="5" t="s">
        <v>196</v>
      </c>
      <c r="D35" s="5">
        <v>34</v>
      </c>
      <c r="E35" s="5" t="s">
        <v>117</v>
      </c>
      <c r="F35" s="1">
        <v>7768.97</v>
      </c>
      <c r="G35" s="4">
        <f t="shared" si="0"/>
        <v>1.3889283847617871E-2</v>
      </c>
      <c r="P35">
        <v>32</v>
      </c>
      <c r="Q35">
        <v>25</v>
      </c>
      <c r="R35" t="s">
        <v>85</v>
      </c>
      <c r="S35" t="s">
        <v>85</v>
      </c>
      <c r="T35" t="str">
        <f t="shared" si="1"/>
        <v>32-25--</v>
      </c>
    </row>
    <row r="36" spans="1:20" x14ac:dyDescent="0.3">
      <c r="A36" s="5" t="s">
        <v>34</v>
      </c>
      <c r="B36" s="5" t="s">
        <v>83</v>
      </c>
      <c r="C36" s="5" t="s">
        <v>197</v>
      </c>
      <c r="D36" s="5">
        <v>35</v>
      </c>
      <c r="E36" s="5" t="s">
        <v>118</v>
      </c>
      <c r="F36" s="1">
        <v>12305.07</v>
      </c>
      <c r="G36" s="4">
        <f t="shared" si="0"/>
        <v>2.1998876298248957E-2</v>
      </c>
      <c r="P36">
        <v>33</v>
      </c>
      <c r="Q36" t="s">
        <v>85</v>
      </c>
      <c r="R36" t="s">
        <v>85</v>
      </c>
      <c r="S36" t="s">
        <v>85</v>
      </c>
      <c r="T36" t="str">
        <f t="shared" si="1"/>
        <v>33---</v>
      </c>
    </row>
    <row r="37" spans="1:20" x14ac:dyDescent="0.3">
      <c r="A37" s="5" t="s">
        <v>35</v>
      </c>
      <c r="B37" s="5" t="s">
        <v>163</v>
      </c>
      <c r="C37" s="5" t="s">
        <v>198</v>
      </c>
      <c r="D37" s="5">
        <v>36</v>
      </c>
      <c r="E37" s="5" t="s">
        <v>119</v>
      </c>
      <c r="F37" s="1">
        <v>0</v>
      </c>
      <c r="G37" s="4">
        <f t="shared" si="0"/>
        <v>0</v>
      </c>
      <c r="P37">
        <v>34</v>
      </c>
      <c r="Q37" t="s">
        <v>85</v>
      </c>
      <c r="R37" t="s">
        <v>85</v>
      </c>
      <c r="S37" t="s">
        <v>85</v>
      </c>
      <c r="T37" t="str">
        <f t="shared" si="1"/>
        <v>34---</v>
      </c>
    </row>
    <row r="38" spans="1:20" x14ac:dyDescent="0.3">
      <c r="A38" s="5" t="s">
        <v>36</v>
      </c>
      <c r="B38" s="5" t="s">
        <v>163</v>
      </c>
      <c r="C38" s="5" t="s">
        <v>199</v>
      </c>
      <c r="D38" s="5">
        <v>37</v>
      </c>
      <c r="E38" s="5" t="s">
        <v>119</v>
      </c>
      <c r="F38" s="1">
        <v>10599.46</v>
      </c>
      <c r="G38" s="4">
        <f t="shared" si="0"/>
        <v>1.8949604461269857E-2</v>
      </c>
      <c r="P38">
        <v>34</v>
      </c>
      <c r="Q38" t="s">
        <v>85</v>
      </c>
      <c r="R38" t="s">
        <v>85</v>
      </c>
      <c r="S38" t="s">
        <v>85</v>
      </c>
      <c r="T38" t="str">
        <f t="shared" si="1"/>
        <v>34---</v>
      </c>
    </row>
    <row r="39" spans="1:20" x14ac:dyDescent="0.3">
      <c r="A39" s="5" t="s">
        <v>37</v>
      </c>
      <c r="B39" s="5" t="s">
        <v>84</v>
      </c>
      <c r="C39" s="5" t="s">
        <v>200</v>
      </c>
      <c r="D39" s="5">
        <v>38</v>
      </c>
      <c r="E39" s="5" t="s">
        <v>120</v>
      </c>
      <c r="F39" s="1">
        <v>6711.86</v>
      </c>
      <c r="G39" s="4">
        <f t="shared" si="0"/>
        <v>1.1999393572825288E-2</v>
      </c>
      <c r="P39">
        <v>32</v>
      </c>
      <c r="Q39">
        <v>34</v>
      </c>
      <c r="R39">
        <v>27</v>
      </c>
      <c r="S39" t="s">
        <v>85</v>
      </c>
      <c r="T39" t="str">
        <f t="shared" si="1"/>
        <v>32-34-27-</v>
      </c>
    </row>
    <row r="40" spans="1:20" x14ac:dyDescent="0.3">
      <c r="A40" s="5" t="s">
        <v>38</v>
      </c>
      <c r="B40" s="5" t="s">
        <v>83</v>
      </c>
      <c r="C40" s="5" t="s">
        <v>201</v>
      </c>
      <c r="D40" s="5">
        <v>39</v>
      </c>
      <c r="E40" s="5" t="s">
        <v>121</v>
      </c>
      <c r="F40" s="1">
        <v>16220.34</v>
      </c>
      <c r="G40" s="4">
        <f t="shared" si="0"/>
        <v>2.8998555325206565E-2</v>
      </c>
      <c r="P40">
        <v>35</v>
      </c>
      <c r="Q40">
        <v>23</v>
      </c>
      <c r="R40" t="s">
        <v>85</v>
      </c>
      <c r="S40" t="s">
        <v>85</v>
      </c>
      <c r="T40" t="str">
        <f t="shared" si="1"/>
        <v>35-23--</v>
      </c>
    </row>
    <row r="41" spans="1:20" x14ac:dyDescent="0.3">
      <c r="A41" s="5" t="s">
        <v>39</v>
      </c>
      <c r="B41" s="5" t="s">
        <v>163</v>
      </c>
      <c r="C41" s="5" t="s">
        <v>202</v>
      </c>
      <c r="D41" s="5">
        <v>40</v>
      </c>
      <c r="E41" s="5" t="s">
        <v>122</v>
      </c>
      <c r="F41" s="1">
        <v>6622.37</v>
      </c>
      <c r="G41" s="4">
        <f t="shared" si="0"/>
        <v>1.1839404280612378E-2</v>
      </c>
      <c r="P41">
        <v>36</v>
      </c>
      <c r="Q41" t="s">
        <v>85</v>
      </c>
      <c r="R41" t="s">
        <v>85</v>
      </c>
      <c r="S41" t="s">
        <v>85</v>
      </c>
      <c r="T41" t="str">
        <f t="shared" si="1"/>
        <v>36---</v>
      </c>
    </row>
    <row r="42" spans="1:20" x14ac:dyDescent="0.3">
      <c r="A42" s="5" t="s">
        <v>40</v>
      </c>
      <c r="B42" s="5" t="s">
        <v>163</v>
      </c>
      <c r="C42" s="5" t="s">
        <v>203</v>
      </c>
      <c r="D42" s="5">
        <v>41</v>
      </c>
      <c r="E42" s="5" t="s">
        <v>123</v>
      </c>
      <c r="F42" s="1">
        <v>17764.07</v>
      </c>
      <c r="G42" s="4">
        <f t="shared" si="0"/>
        <v>3.1758419780093521E-2</v>
      </c>
      <c r="P42">
        <v>40</v>
      </c>
      <c r="Q42" t="s">
        <v>85</v>
      </c>
      <c r="R42" t="s">
        <v>85</v>
      </c>
      <c r="S42" t="s">
        <v>85</v>
      </c>
      <c r="T42" t="str">
        <f t="shared" si="1"/>
        <v>40---</v>
      </c>
    </row>
    <row r="43" spans="1:20" x14ac:dyDescent="0.3">
      <c r="A43" s="5" t="s">
        <v>41</v>
      </c>
      <c r="B43" s="5" t="s">
        <v>163</v>
      </c>
      <c r="C43" s="5" t="s">
        <v>204</v>
      </c>
      <c r="D43" s="5">
        <v>42</v>
      </c>
      <c r="E43" s="5" t="s">
        <v>124</v>
      </c>
      <c r="F43" s="1">
        <v>3887.0962500000001</v>
      </c>
      <c r="G43" s="4">
        <f t="shared" si="0"/>
        <v>6.9493102894284562E-3</v>
      </c>
      <c r="P43">
        <v>37</v>
      </c>
      <c r="Q43">
        <v>41</v>
      </c>
      <c r="R43" t="s">
        <v>85</v>
      </c>
      <c r="S43" t="s">
        <v>85</v>
      </c>
      <c r="T43" t="str">
        <f t="shared" si="1"/>
        <v>37-41--</v>
      </c>
    </row>
    <row r="44" spans="1:20" x14ac:dyDescent="0.3">
      <c r="A44" s="5" t="s">
        <v>42</v>
      </c>
      <c r="B44" s="5" t="s">
        <v>161</v>
      </c>
      <c r="C44" s="5" t="s">
        <v>205</v>
      </c>
      <c r="D44" s="5">
        <v>43</v>
      </c>
      <c r="E44" s="5" t="s">
        <v>102</v>
      </c>
      <c r="F44" s="1">
        <v>564.91</v>
      </c>
      <c r="G44" s="4">
        <f t="shared" si="0"/>
        <v>1.0099402286735321E-3</v>
      </c>
      <c r="P44">
        <v>13</v>
      </c>
      <c r="Q44" t="s">
        <v>85</v>
      </c>
      <c r="R44" t="s">
        <v>85</v>
      </c>
      <c r="S44" t="s">
        <v>85</v>
      </c>
      <c r="T44" t="str">
        <f t="shared" si="1"/>
        <v>13---</v>
      </c>
    </row>
    <row r="45" spans="1:20" x14ac:dyDescent="0.3">
      <c r="A45" s="5" t="s">
        <v>43</v>
      </c>
      <c r="B45" s="5" t="s">
        <v>161</v>
      </c>
      <c r="C45" s="5" t="s">
        <v>206</v>
      </c>
      <c r="D45" s="5">
        <v>44</v>
      </c>
      <c r="E45" s="5" t="s">
        <v>125</v>
      </c>
      <c r="F45" s="1">
        <v>1677.96</v>
      </c>
      <c r="G45" s="4">
        <f t="shared" si="0"/>
        <v>2.999839454258271E-3</v>
      </c>
      <c r="P45">
        <v>43</v>
      </c>
      <c r="Q45" t="s">
        <v>85</v>
      </c>
      <c r="R45" t="s">
        <v>85</v>
      </c>
      <c r="S45" t="s">
        <v>85</v>
      </c>
      <c r="T45" t="str">
        <f t="shared" si="1"/>
        <v>43---</v>
      </c>
    </row>
    <row r="46" spans="1:20" x14ac:dyDescent="0.3">
      <c r="A46" s="5" t="s">
        <v>44</v>
      </c>
      <c r="B46" s="5" t="s">
        <v>161</v>
      </c>
      <c r="C46" s="5" t="s">
        <v>207</v>
      </c>
      <c r="D46" s="5">
        <v>45</v>
      </c>
      <c r="E46" s="5" t="s">
        <v>126</v>
      </c>
      <c r="F46" s="1">
        <v>0</v>
      </c>
      <c r="G46" s="4">
        <f t="shared" si="0"/>
        <v>0</v>
      </c>
      <c r="P46">
        <v>44</v>
      </c>
      <c r="Q46" t="s">
        <v>85</v>
      </c>
      <c r="R46" t="s">
        <v>85</v>
      </c>
      <c r="S46" t="s">
        <v>85</v>
      </c>
      <c r="T46" t="str">
        <f t="shared" si="1"/>
        <v>44---</v>
      </c>
    </row>
    <row r="47" spans="1:20" x14ac:dyDescent="0.3">
      <c r="A47" s="5" t="s">
        <v>45</v>
      </c>
      <c r="B47" s="5" t="s">
        <v>84</v>
      </c>
      <c r="C47" s="5" t="s">
        <v>208</v>
      </c>
      <c r="D47" s="5">
        <v>46</v>
      </c>
      <c r="E47" s="5" t="s">
        <v>127</v>
      </c>
      <c r="F47" s="1">
        <v>0</v>
      </c>
      <c r="G47" s="4">
        <f t="shared" si="0"/>
        <v>0</v>
      </c>
      <c r="P47">
        <v>45</v>
      </c>
      <c r="Q47" t="s">
        <v>85</v>
      </c>
      <c r="R47" t="s">
        <v>85</v>
      </c>
      <c r="S47" t="s">
        <v>85</v>
      </c>
      <c r="T47" t="str">
        <f t="shared" si="1"/>
        <v>45---</v>
      </c>
    </row>
    <row r="48" spans="1:20" x14ac:dyDescent="0.3">
      <c r="A48" s="5" t="s">
        <v>46</v>
      </c>
      <c r="B48" s="5" t="s">
        <v>161</v>
      </c>
      <c r="C48" s="5" t="s">
        <v>209</v>
      </c>
      <c r="D48" s="5">
        <v>47</v>
      </c>
      <c r="E48" s="5" t="s">
        <v>128</v>
      </c>
      <c r="F48" s="1">
        <v>1208.1300000000001</v>
      </c>
      <c r="G48" s="4">
        <f t="shared" si="0"/>
        <v>2.1598822617184231E-3</v>
      </c>
      <c r="P48">
        <v>46</v>
      </c>
      <c r="Q48" t="s">
        <v>85</v>
      </c>
      <c r="R48" t="s">
        <v>85</v>
      </c>
      <c r="S48" t="s">
        <v>85</v>
      </c>
      <c r="T48" t="str">
        <f t="shared" si="1"/>
        <v>46---</v>
      </c>
    </row>
    <row r="49" spans="1:20" x14ac:dyDescent="0.3">
      <c r="A49" s="5" t="s">
        <v>47</v>
      </c>
      <c r="B49" s="5" t="s">
        <v>161</v>
      </c>
      <c r="C49" s="5" t="s">
        <v>210</v>
      </c>
      <c r="D49" s="5">
        <v>48</v>
      </c>
      <c r="E49" s="5" t="s">
        <v>129</v>
      </c>
      <c r="F49" s="1">
        <v>8949.15</v>
      </c>
      <c r="G49" s="4">
        <f t="shared" si="0"/>
        <v>1.5999197389732416E-2</v>
      </c>
      <c r="P49">
        <v>47</v>
      </c>
      <c r="Q49" t="s">
        <v>85</v>
      </c>
      <c r="R49" t="s">
        <v>85</v>
      </c>
      <c r="S49" t="s">
        <v>85</v>
      </c>
      <c r="T49" t="str">
        <f t="shared" si="1"/>
        <v>47---</v>
      </c>
    </row>
    <row r="50" spans="1:20" x14ac:dyDescent="0.3">
      <c r="A50" s="5" t="s">
        <v>48</v>
      </c>
      <c r="B50" s="5" t="s">
        <v>161</v>
      </c>
      <c r="C50" s="5" t="s">
        <v>211</v>
      </c>
      <c r="D50" s="5">
        <v>49</v>
      </c>
      <c r="E50" s="5" t="s">
        <v>130</v>
      </c>
      <c r="F50" s="1">
        <v>0</v>
      </c>
      <c r="G50" s="4">
        <f t="shared" si="0"/>
        <v>0</v>
      </c>
      <c r="P50">
        <v>48</v>
      </c>
      <c r="Q50" t="s">
        <v>85</v>
      </c>
      <c r="R50" t="s">
        <v>85</v>
      </c>
      <c r="S50" t="s">
        <v>85</v>
      </c>
      <c r="T50" t="str">
        <f t="shared" si="1"/>
        <v>48---</v>
      </c>
    </row>
    <row r="51" spans="1:20" x14ac:dyDescent="0.3">
      <c r="A51" s="5" t="s">
        <v>49</v>
      </c>
      <c r="B51" s="5" t="s">
        <v>161</v>
      </c>
      <c r="C51" s="5" t="s">
        <v>212</v>
      </c>
      <c r="D51" s="5">
        <v>50</v>
      </c>
      <c r="E51" s="5" t="s">
        <v>130</v>
      </c>
      <c r="F51" s="1">
        <v>0</v>
      </c>
      <c r="G51" s="4">
        <f t="shared" si="0"/>
        <v>0</v>
      </c>
      <c r="P51">
        <v>48</v>
      </c>
      <c r="Q51" t="s">
        <v>85</v>
      </c>
      <c r="R51" t="s">
        <v>85</v>
      </c>
      <c r="S51" t="s">
        <v>85</v>
      </c>
      <c r="T51" t="str">
        <f t="shared" si="1"/>
        <v>48---</v>
      </c>
    </row>
    <row r="52" spans="1:20" x14ac:dyDescent="0.3">
      <c r="A52" s="5" t="s">
        <v>50</v>
      </c>
      <c r="B52" s="5" t="s">
        <v>161</v>
      </c>
      <c r="C52" s="5" t="s">
        <v>213</v>
      </c>
      <c r="D52" s="5">
        <v>51</v>
      </c>
      <c r="E52" s="5" t="s">
        <v>131</v>
      </c>
      <c r="F52" s="1">
        <v>1113.05</v>
      </c>
      <c r="G52" s="4">
        <f t="shared" si="0"/>
        <v>1.9898992255847391E-3</v>
      </c>
      <c r="P52">
        <v>50</v>
      </c>
      <c r="Q52" t="s">
        <v>85</v>
      </c>
      <c r="R52" t="s">
        <v>85</v>
      </c>
      <c r="S52" t="s">
        <v>85</v>
      </c>
      <c r="T52" t="str">
        <f t="shared" si="1"/>
        <v>50---</v>
      </c>
    </row>
    <row r="53" spans="1:20" x14ac:dyDescent="0.3">
      <c r="A53" s="5" t="s">
        <v>51</v>
      </c>
      <c r="B53" s="5" t="s">
        <v>83</v>
      </c>
      <c r="C53" s="5" t="s">
        <v>214</v>
      </c>
      <c r="D53" s="5">
        <v>52</v>
      </c>
      <c r="E53" s="5" t="s">
        <v>132</v>
      </c>
      <c r="F53" s="1">
        <v>1677.96</v>
      </c>
      <c r="G53" s="4">
        <f t="shared" si="0"/>
        <v>2.999839454258271E-3</v>
      </c>
      <c r="P53">
        <v>49</v>
      </c>
      <c r="Q53">
        <v>15</v>
      </c>
      <c r="R53" t="s">
        <v>85</v>
      </c>
      <c r="S53" t="s">
        <v>85</v>
      </c>
      <c r="T53" t="str">
        <f t="shared" si="1"/>
        <v>49-15--</v>
      </c>
    </row>
    <row r="54" spans="1:20" x14ac:dyDescent="0.3">
      <c r="A54" s="5" t="s">
        <v>52</v>
      </c>
      <c r="B54" s="5" t="s">
        <v>161</v>
      </c>
      <c r="C54" s="5" t="s">
        <v>215</v>
      </c>
      <c r="D54" s="5">
        <v>53</v>
      </c>
      <c r="E54" s="5" t="s">
        <v>133</v>
      </c>
      <c r="F54" s="1">
        <v>0</v>
      </c>
      <c r="G54" s="4">
        <f t="shared" si="0"/>
        <v>0</v>
      </c>
      <c r="P54">
        <v>51</v>
      </c>
      <c r="Q54" t="s">
        <v>85</v>
      </c>
      <c r="R54" t="s">
        <v>85</v>
      </c>
      <c r="S54" t="s">
        <v>85</v>
      </c>
      <c r="T54" t="str">
        <f t="shared" si="1"/>
        <v>51---</v>
      </c>
    </row>
    <row r="55" spans="1:20" x14ac:dyDescent="0.3">
      <c r="A55" s="5" t="s">
        <v>53</v>
      </c>
      <c r="B55" s="5" t="s">
        <v>84</v>
      </c>
      <c r="C55" s="5" t="s">
        <v>216</v>
      </c>
      <c r="D55" s="5">
        <v>54</v>
      </c>
      <c r="E55" s="5" t="s">
        <v>134</v>
      </c>
      <c r="F55" s="1">
        <v>0</v>
      </c>
      <c r="G55" s="4">
        <f t="shared" si="0"/>
        <v>0</v>
      </c>
      <c r="P55">
        <v>53</v>
      </c>
      <c r="Q55" t="s">
        <v>85</v>
      </c>
      <c r="R55" t="s">
        <v>85</v>
      </c>
      <c r="S55" t="s">
        <v>85</v>
      </c>
      <c r="T55" t="str">
        <f t="shared" si="1"/>
        <v>53---</v>
      </c>
    </row>
    <row r="56" spans="1:20" x14ac:dyDescent="0.3">
      <c r="A56" s="5" t="s">
        <v>54</v>
      </c>
      <c r="B56" s="5" t="s">
        <v>84</v>
      </c>
      <c r="C56" s="5" t="s">
        <v>217</v>
      </c>
      <c r="D56" s="5">
        <v>55</v>
      </c>
      <c r="E56" s="5" t="s">
        <v>135</v>
      </c>
      <c r="F56" s="1">
        <v>2237.29</v>
      </c>
      <c r="G56" s="4">
        <f t="shared" si="0"/>
        <v>3.9998038169071293E-3</v>
      </c>
      <c r="P56">
        <v>52</v>
      </c>
      <c r="Q56" t="s">
        <v>85</v>
      </c>
      <c r="R56" t="s">
        <v>85</v>
      </c>
      <c r="S56" t="s">
        <v>85</v>
      </c>
      <c r="T56" t="str">
        <f t="shared" si="1"/>
        <v>52---</v>
      </c>
    </row>
    <row r="57" spans="1:20" x14ac:dyDescent="0.3">
      <c r="A57" s="5" t="s">
        <v>55</v>
      </c>
      <c r="B57" s="5" t="s">
        <v>161</v>
      </c>
      <c r="C57" s="5" t="s">
        <v>218</v>
      </c>
      <c r="D57" s="5">
        <v>56</v>
      </c>
      <c r="E57" s="5" t="s">
        <v>136</v>
      </c>
      <c r="F57" s="1">
        <v>1320</v>
      </c>
      <c r="G57" s="4">
        <f t="shared" si="0"/>
        <v>2.3598822854066352E-3</v>
      </c>
      <c r="P57">
        <v>55</v>
      </c>
      <c r="Q57" t="s">
        <v>85</v>
      </c>
      <c r="R57" t="s">
        <v>85</v>
      </c>
      <c r="S57" t="s">
        <v>85</v>
      </c>
      <c r="T57" t="str">
        <f t="shared" si="1"/>
        <v>55---</v>
      </c>
    </row>
    <row r="58" spans="1:20" x14ac:dyDescent="0.3">
      <c r="A58" s="5" t="s">
        <v>56</v>
      </c>
      <c r="B58" s="5" t="s">
        <v>161</v>
      </c>
      <c r="C58" s="5" t="s">
        <v>219</v>
      </c>
      <c r="D58" s="5">
        <v>57</v>
      </c>
      <c r="E58" s="5" t="s">
        <v>137</v>
      </c>
      <c r="F58" s="1">
        <v>2237.29</v>
      </c>
      <c r="G58" s="4">
        <f t="shared" si="0"/>
        <v>3.9998038169071293E-3</v>
      </c>
      <c r="P58">
        <v>54</v>
      </c>
      <c r="Q58" t="s">
        <v>85</v>
      </c>
      <c r="R58" t="s">
        <v>85</v>
      </c>
      <c r="S58" t="s">
        <v>85</v>
      </c>
      <c r="T58" t="str">
        <f t="shared" si="1"/>
        <v>54---</v>
      </c>
    </row>
    <row r="59" spans="1:20" x14ac:dyDescent="0.3">
      <c r="A59" s="5" t="s">
        <v>57</v>
      </c>
      <c r="B59" s="5" t="s">
        <v>161</v>
      </c>
      <c r="C59" s="5" t="s">
        <v>220</v>
      </c>
      <c r="D59" s="5">
        <v>58</v>
      </c>
      <c r="E59" s="5" t="s">
        <v>138</v>
      </c>
      <c r="F59" s="1">
        <v>413.9</v>
      </c>
      <c r="G59" s="4">
        <f t="shared" si="0"/>
        <v>7.399661196437927E-4</v>
      </c>
      <c r="P59">
        <v>57</v>
      </c>
      <c r="Q59" t="s">
        <v>85</v>
      </c>
      <c r="R59" t="s">
        <v>85</v>
      </c>
      <c r="S59" t="s">
        <v>85</v>
      </c>
      <c r="T59" t="str">
        <f t="shared" si="1"/>
        <v>57---</v>
      </c>
    </row>
    <row r="60" spans="1:20" x14ac:dyDescent="0.3">
      <c r="A60" s="5" t="s">
        <v>58</v>
      </c>
      <c r="B60" s="5" t="s">
        <v>163</v>
      </c>
      <c r="C60" s="5" t="s">
        <v>221</v>
      </c>
      <c r="D60" s="5">
        <v>59</v>
      </c>
      <c r="E60" s="5" t="s">
        <v>139</v>
      </c>
      <c r="F60" s="1">
        <v>1801.02</v>
      </c>
      <c r="G60" s="4">
        <f t="shared" si="0"/>
        <v>3.2198448436841351E-3</v>
      </c>
      <c r="P60">
        <v>56</v>
      </c>
      <c r="Q60" t="s">
        <v>85</v>
      </c>
      <c r="R60" t="s">
        <v>85</v>
      </c>
      <c r="S60" t="s">
        <v>85</v>
      </c>
      <c r="T60" t="str">
        <f t="shared" si="1"/>
        <v>56---</v>
      </c>
    </row>
    <row r="61" spans="1:20" x14ac:dyDescent="0.3">
      <c r="A61" s="5" t="s">
        <v>59</v>
      </c>
      <c r="B61" s="5" t="s">
        <v>161</v>
      </c>
      <c r="C61" s="5" t="s">
        <v>222</v>
      </c>
      <c r="D61" s="5">
        <v>60</v>
      </c>
      <c r="E61" s="5" t="s">
        <v>140</v>
      </c>
      <c r="F61" s="1">
        <v>0</v>
      </c>
      <c r="G61" s="4">
        <f t="shared" si="0"/>
        <v>0</v>
      </c>
      <c r="P61">
        <v>58</v>
      </c>
      <c r="Q61" t="s">
        <v>85</v>
      </c>
      <c r="R61" t="s">
        <v>85</v>
      </c>
      <c r="S61" t="s">
        <v>85</v>
      </c>
      <c r="T61" t="str">
        <f t="shared" si="1"/>
        <v>58---</v>
      </c>
    </row>
    <row r="62" spans="1:20" x14ac:dyDescent="0.3">
      <c r="A62" s="5" t="s">
        <v>60</v>
      </c>
      <c r="B62" s="5" t="s">
        <v>161</v>
      </c>
      <c r="C62" s="5" t="s">
        <v>223</v>
      </c>
      <c r="D62" s="5">
        <v>61</v>
      </c>
      <c r="E62" s="5" t="s">
        <v>141</v>
      </c>
      <c r="F62" s="1">
        <v>0</v>
      </c>
      <c r="G62" s="4">
        <f t="shared" si="0"/>
        <v>0</v>
      </c>
      <c r="P62">
        <v>59</v>
      </c>
      <c r="Q62" t="s">
        <v>85</v>
      </c>
      <c r="R62" t="s">
        <v>85</v>
      </c>
      <c r="S62" t="s">
        <v>85</v>
      </c>
      <c r="T62" t="str">
        <f t="shared" si="1"/>
        <v>59---</v>
      </c>
    </row>
    <row r="63" spans="1:20" x14ac:dyDescent="0.3">
      <c r="A63" s="5" t="s">
        <v>61</v>
      </c>
      <c r="B63" s="5" t="s">
        <v>161</v>
      </c>
      <c r="C63" s="5" t="s">
        <v>224</v>
      </c>
      <c r="D63" s="5">
        <v>62</v>
      </c>
      <c r="E63" s="5" t="s">
        <v>142</v>
      </c>
      <c r="F63" s="1">
        <v>0</v>
      </c>
      <c r="G63" s="4">
        <f t="shared" si="0"/>
        <v>0</v>
      </c>
      <c r="P63">
        <v>61</v>
      </c>
      <c r="Q63" t="s">
        <v>85</v>
      </c>
      <c r="R63" t="s">
        <v>85</v>
      </c>
      <c r="S63" t="s">
        <v>85</v>
      </c>
      <c r="T63" t="str">
        <f t="shared" si="1"/>
        <v>61---</v>
      </c>
    </row>
    <row r="64" spans="1:20" x14ac:dyDescent="0.3">
      <c r="A64" s="5" t="s">
        <v>62</v>
      </c>
      <c r="B64" s="5" t="s">
        <v>163</v>
      </c>
      <c r="C64" s="5" t="s">
        <v>225</v>
      </c>
      <c r="D64" s="5">
        <v>63</v>
      </c>
      <c r="E64" s="5" t="s">
        <v>143</v>
      </c>
      <c r="F64" s="1">
        <v>0</v>
      </c>
      <c r="G64" s="4">
        <f t="shared" si="0"/>
        <v>0</v>
      </c>
      <c r="P64">
        <v>62</v>
      </c>
      <c r="Q64" t="s">
        <v>85</v>
      </c>
      <c r="R64" t="s">
        <v>85</v>
      </c>
      <c r="S64" t="s">
        <v>85</v>
      </c>
      <c r="T64" t="str">
        <f t="shared" si="1"/>
        <v>62---</v>
      </c>
    </row>
    <row r="65" spans="1:20" x14ac:dyDescent="0.3">
      <c r="A65" s="5" t="s">
        <v>63</v>
      </c>
      <c r="B65" s="5" t="s">
        <v>163</v>
      </c>
      <c r="C65" s="5" t="s">
        <v>226</v>
      </c>
      <c r="D65" s="5">
        <v>64</v>
      </c>
      <c r="E65" s="5" t="s">
        <v>144</v>
      </c>
      <c r="F65" s="1">
        <v>0</v>
      </c>
      <c r="G65" s="4">
        <f t="shared" si="0"/>
        <v>0</v>
      </c>
      <c r="P65">
        <v>63</v>
      </c>
      <c r="Q65" t="s">
        <v>85</v>
      </c>
      <c r="R65" t="s">
        <v>85</v>
      </c>
      <c r="S65" t="s">
        <v>85</v>
      </c>
      <c r="T65" t="str">
        <f t="shared" si="1"/>
        <v>63---</v>
      </c>
    </row>
    <row r="66" spans="1:20" x14ac:dyDescent="0.3">
      <c r="A66" s="5" t="s">
        <v>64</v>
      </c>
      <c r="B66" s="5" t="s">
        <v>163</v>
      </c>
      <c r="C66" s="5" t="s">
        <v>227</v>
      </c>
      <c r="D66" s="5">
        <v>65</v>
      </c>
      <c r="E66" s="5" t="s">
        <v>145</v>
      </c>
      <c r="F66" s="1">
        <v>4597.04</v>
      </c>
      <c r="G66" s="4">
        <f t="shared" si="0"/>
        <v>8.2185403494740294E-3</v>
      </c>
      <c r="P66">
        <v>64</v>
      </c>
      <c r="Q66" t="s">
        <v>85</v>
      </c>
      <c r="R66" t="s">
        <v>85</v>
      </c>
      <c r="S66" t="s">
        <v>85</v>
      </c>
      <c r="T66" t="str">
        <f t="shared" si="1"/>
        <v>64---</v>
      </c>
    </row>
    <row r="67" spans="1:20" x14ac:dyDescent="0.3">
      <c r="A67" s="5" t="s">
        <v>65</v>
      </c>
      <c r="B67" s="5" t="s">
        <v>163</v>
      </c>
      <c r="C67" s="5" t="s">
        <v>228</v>
      </c>
      <c r="D67" s="5">
        <v>66</v>
      </c>
      <c r="E67" s="5" t="s">
        <v>146</v>
      </c>
      <c r="F67" s="1">
        <v>402.71</v>
      </c>
      <c r="G67" s="4">
        <f t="shared" ref="G67:G83" si="2">F67/$F$85</f>
        <v>7.1996075390614092E-4</v>
      </c>
      <c r="P67">
        <v>65</v>
      </c>
      <c r="Q67" t="s">
        <v>85</v>
      </c>
      <c r="R67" t="s">
        <v>85</v>
      </c>
      <c r="S67" t="s">
        <v>85</v>
      </c>
      <c r="T67" t="str">
        <f t="shared" ref="T67:T83" si="3">_xlfn.CONCAT(P67,"-",Q67,"-",R67,"-",S67)</f>
        <v>65---</v>
      </c>
    </row>
    <row r="68" spans="1:20" x14ac:dyDescent="0.3">
      <c r="A68" s="5" t="s">
        <v>66</v>
      </c>
      <c r="B68" s="5" t="s">
        <v>163</v>
      </c>
      <c r="C68" s="5" t="s">
        <v>229</v>
      </c>
      <c r="D68" s="5">
        <v>67</v>
      </c>
      <c r="E68" s="5" t="s">
        <v>146</v>
      </c>
      <c r="F68" s="1">
        <v>5000.34</v>
      </c>
      <c r="G68" s="4">
        <f t="shared" si="2"/>
        <v>8.939555899250164E-3</v>
      </c>
      <c r="P68">
        <v>65</v>
      </c>
      <c r="Q68" t="s">
        <v>85</v>
      </c>
      <c r="R68" t="s">
        <v>85</v>
      </c>
      <c r="S68" t="s">
        <v>85</v>
      </c>
      <c r="T68" t="str">
        <f t="shared" si="3"/>
        <v>65---</v>
      </c>
    </row>
    <row r="69" spans="1:20" x14ac:dyDescent="0.3">
      <c r="A69" s="5" t="s">
        <v>67</v>
      </c>
      <c r="B69" s="5" t="s">
        <v>83</v>
      </c>
      <c r="C69" s="5" t="s">
        <v>230</v>
      </c>
      <c r="D69" s="5">
        <v>68</v>
      </c>
      <c r="E69" s="5" t="s">
        <v>146</v>
      </c>
      <c r="F69" s="1">
        <v>1677.97</v>
      </c>
      <c r="G69" s="4">
        <f t="shared" si="2"/>
        <v>2.9998573321543729E-3</v>
      </c>
      <c r="P69">
        <v>65</v>
      </c>
      <c r="Q69" t="s">
        <v>85</v>
      </c>
      <c r="R69" t="s">
        <v>85</v>
      </c>
      <c r="S69" t="s">
        <v>85</v>
      </c>
      <c r="T69" t="str">
        <f t="shared" si="3"/>
        <v>65---</v>
      </c>
    </row>
    <row r="70" spans="1:20" x14ac:dyDescent="0.3">
      <c r="A70" s="5" t="s">
        <v>68</v>
      </c>
      <c r="B70" s="5" t="s">
        <v>163</v>
      </c>
      <c r="C70" s="5" t="s">
        <v>231</v>
      </c>
      <c r="D70" s="5">
        <v>69</v>
      </c>
      <c r="E70" s="5" t="s">
        <v>147</v>
      </c>
      <c r="F70" s="1">
        <v>3227.29</v>
      </c>
      <c r="G70" s="4">
        <f t="shared" si="2"/>
        <v>5.7697155309621058E-3</v>
      </c>
      <c r="P70">
        <v>66</v>
      </c>
      <c r="Q70" t="s">
        <v>85</v>
      </c>
      <c r="R70" t="s">
        <v>85</v>
      </c>
      <c r="S70" t="s">
        <v>85</v>
      </c>
      <c r="T70" t="str">
        <f t="shared" si="3"/>
        <v>66---</v>
      </c>
    </row>
    <row r="71" spans="1:20" x14ac:dyDescent="0.3">
      <c r="A71" s="5" t="s">
        <v>69</v>
      </c>
      <c r="B71" s="5" t="s">
        <v>163</v>
      </c>
      <c r="C71" s="5" t="s">
        <v>232</v>
      </c>
      <c r="D71" s="5">
        <v>70</v>
      </c>
      <c r="E71" s="5" t="s">
        <v>148</v>
      </c>
      <c r="F71" s="1">
        <v>0</v>
      </c>
      <c r="G71" s="4">
        <f t="shared" si="2"/>
        <v>0</v>
      </c>
      <c r="P71">
        <v>76</v>
      </c>
      <c r="Q71" t="s">
        <v>85</v>
      </c>
      <c r="R71" t="s">
        <v>85</v>
      </c>
      <c r="S71" t="s">
        <v>85</v>
      </c>
      <c r="T71" t="str">
        <f t="shared" si="3"/>
        <v>76---</v>
      </c>
    </row>
    <row r="72" spans="1:20" x14ac:dyDescent="0.3">
      <c r="A72" s="5" t="s">
        <v>70</v>
      </c>
      <c r="B72" s="5" t="s">
        <v>163</v>
      </c>
      <c r="C72" s="5" t="s">
        <v>233</v>
      </c>
      <c r="D72" s="5">
        <v>71</v>
      </c>
      <c r="E72" s="5" t="s">
        <v>149</v>
      </c>
      <c r="F72" s="1">
        <v>4698.3100000000004</v>
      </c>
      <c r="G72" s="4">
        <f t="shared" si="2"/>
        <v>8.3995898032945826E-3</v>
      </c>
      <c r="P72">
        <v>70</v>
      </c>
      <c r="Q72" t="s">
        <v>85</v>
      </c>
      <c r="R72" t="s">
        <v>85</v>
      </c>
      <c r="S72" t="s">
        <v>85</v>
      </c>
      <c r="T72" t="str">
        <f t="shared" si="3"/>
        <v>70---</v>
      </c>
    </row>
    <row r="73" spans="1:20" x14ac:dyDescent="0.3">
      <c r="A73" s="5" t="s">
        <v>71</v>
      </c>
      <c r="B73" s="5" t="s">
        <v>163</v>
      </c>
      <c r="C73" s="5" t="s">
        <v>234</v>
      </c>
      <c r="D73" s="5">
        <v>72</v>
      </c>
      <c r="E73" s="5" t="s">
        <v>150</v>
      </c>
      <c r="F73" s="1">
        <v>13210.52</v>
      </c>
      <c r="G73" s="4">
        <f t="shared" si="2"/>
        <v>2.3617630400765203E-2</v>
      </c>
      <c r="P73">
        <v>69</v>
      </c>
      <c r="Q73">
        <v>71</v>
      </c>
      <c r="R73">
        <v>67</v>
      </c>
      <c r="S73">
        <v>68</v>
      </c>
      <c r="T73" t="str">
        <f t="shared" si="3"/>
        <v>69-71-67-68</v>
      </c>
    </row>
    <row r="74" spans="1:20" x14ac:dyDescent="0.3">
      <c r="A74" s="5" t="s">
        <v>72</v>
      </c>
      <c r="B74" s="5" t="s">
        <v>84</v>
      </c>
      <c r="C74" s="5" t="s">
        <v>235</v>
      </c>
      <c r="D74" s="5">
        <v>73</v>
      </c>
      <c r="E74" s="5" t="s">
        <v>151</v>
      </c>
      <c r="F74" s="1">
        <v>2796.61</v>
      </c>
      <c r="G74" s="4">
        <f t="shared" si="2"/>
        <v>4.999750301659887E-3</v>
      </c>
      <c r="P74">
        <v>71</v>
      </c>
      <c r="Q74">
        <v>72</v>
      </c>
      <c r="R74" t="s">
        <v>85</v>
      </c>
      <c r="S74" t="s">
        <v>85</v>
      </c>
      <c r="T74" t="str">
        <f t="shared" si="3"/>
        <v>71-72--</v>
      </c>
    </row>
    <row r="75" spans="1:20" x14ac:dyDescent="0.3">
      <c r="A75" s="5" t="s">
        <v>73</v>
      </c>
      <c r="B75" s="5" t="s">
        <v>83</v>
      </c>
      <c r="C75" s="5" t="s">
        <v>236</v>
      </c>
      <c r="D75" s="5">
        <v>74</v>
      </c>
      <c r="E75" s="5" t="s">
        <v>152</v>
      </c>
      <c r="F75" s="1">
        <v>1677.96</v>
      </c>
      <c r="G75" s="4">
        <f t="shared" si="2"/>
        <v>2.999839454258271E-3</v>
      </c>
      <c r="P75">
        <v>52</v>
      </c>
      <c r="Q75">
        <v>60</v>
      </c>
      <c r="R75" t="s">
        <v>85</v>
      </c>
      <c r="S75" t="s">
        <v>85</v>
      </c>
      <c r="T75" t="str">
        <f t="shared" si="3"/>
        <v>52-60--</v>
      </c>
    </row>
    <row r="76" spans="1:20" x14ac:dyDescent="0.3">
      <c r="A76" s="5" t="s">
        <v>74</v>
      </c>
      <c r="B76" s="5" t="s">
        <v>163</v>
      </c>
      <c r="C76" s="5" t="s">
        <v>237</v>
      </c>
      <c r="D76" s="5">
        <v>75</v>
      </c>
      <c r="E76" s="5" t="s">
        <v>153</v>
      </c>
      <c r="F76" s="1">
        <v>0</v>
      </c>
      <c r="G76" s="4">
        <f t="shared" si="2"/>
        <v>0</v>
      </c>
      <c r="P76">
        <v>65</v>
      </c>
      <c r="Q76">
        <v>74</v>
      </c>
      <c r="R76" t="s">
        <v>85</v>
      </c>
      <c r="S76" t="s">
        <v>85</v>
      </c>
      <c r="T76" t="str">
        <f t="shared" si="3"/>
        <v>65-74--</v>
      </c>
    </row>
    <row r="77" spans="1:20" x14ac:dyDescent="0.3">
      <c r="A77" s="5" t="s">
        <v>75</v>
      </c>
      <c r="B77" s="5" t="s">
        <v>163</v>
      </c>
      <c r="C77" s="5" t="s">
        <v>238</v>
      </c>
      <c r="D77" s="5">
        <v>76</v>
      </c>
      <c r="E77" s="5" t="s">
        <v>154</v>
      </c>
      <c r="F77" s="1">
        <v>0</v>
      </c>
      <c r="G77" s="4">
        <f t="shared" si="2"/>
        <v>0</v>
      </c>
      <c r="P77">
        <v>75</v>
      </c>
      <c r="Q77" t="s">
        <v>85</v>
      </c>
      <c r="R77" t="s">
        <v>85</v>
      </c>
      <c r="S77" t="s">
        <v>85</v>
      </c>
      <c r="T77" t="str">
        <f t="shared" si="3"/>
        <v>75---</v>
      </c>
    </row>
    <row r="78" spans="1:20" x14ac:dyDescent="0.3">
      <c r="A78" s="5" t="s">
        <v>76</v>
      </c>
      <c r="B78" s="5" t="s">
        <v>84</v>
      </c>
      <c r="C78" s="5" t="s">
        <v>239</v>
      </c>
      <c r="D78" s="5">
        <v>77</v>
      </c>
      <c r="E78" s="5" t="s">
        <v>155</v>
      </c>
      <c r="F78" s="1">
        <v>2852.48</v>
      </c>
      <c r="G78" s="4">
        <f t="shared" si="2"/>
        <v>5.0996341071793327E-3</v>
      </c>
      <c r="P78">
        <v>76</v>
      </c>
      <c r="Q78">
        <v>73</v>
      </c>
      <c r="R78" t="s">
        <v>85</v>
      </c>
      <c r="S78" t="s">
        <v>85</v>
      </c>
      <c r="T78" t="str">
        <f t="shared" si="3"/>
        <v>76-73--</v>
      </c>
    </row>
    <row r="79" spans="1:20" x14ac:dyDescent="0.3">
      <c r="A79" s="5" t="s">
        <v>77</v>
      </c>
      <c r="B79" s="5" t="s">
        <v>83</v>
      </c>
      <c r="C79" s="5" t="s">
        <v>240</v>
      </c>
      <c r="D79" s="5">
        <v>78</v>
      </c>
      <c r="E79" s="5" t="s">
        <v>156</v>
      </c>
      <c r="F79" s="1">
        <v>1789.83</v>
      </c>
      <c r="G79" s="4">
        <f t="shared" si="2"/>
        <v>3.1998394779464835E-3</v>
      </c>
      <c r="P79">
        <v>74</v>
      </c>
      <c r="Q79">
        <v>35</v>
      </c>
      <c r="R79">
        <v>39</v>
      </c>
      <c r="S79" t="s">
        <v>85</v>
      </c>
      <c r="T79" t="str">
        <f t="shared" si="3"/>
        <v>74-35-39-</v>
      </c>
    </row>
    <row r="80" spans="1:20" x14ac:dyDescent="0.3">
      <c r="A80" s="5" t="s">
        <v>78</v>
      </c>
      <c r="B80" s="5" t="s">
        <v>163</v>
      </c>
      <c r="C80" s="5" t="s">
        <v>241</v>
      </c>
      <c r="D80" s="5">
        <v>79</v>
      </c>
      <c r="E80" s="5" t="s">
        <v>157</v>
      </c>
      <c r="F80" s="1">
        <v>9665.08</v>
      </c>
      <c r="G80" s="4">
        <f t="shared" si="2"/>
        <v>1.7279129605331789E-2</v>
      </c>
      <c r="P80">
        <v>76</v>
      </c>
      <c r="Q80">
        <v>72</v>
      </c>
      <c r="R80">
        <v>41</v>
      </c>
      <c r="S80" t="s">
        <v>85</v>
      </c>
      <c r="T80" t="str">
        <f t="shared" si="3"/>
        <v>76-72-41-</v>
      </c>
    </row>
    <row r="81" spans="1:20" x14ac:dyDescent="0.3">
      <c r="A81" s="5" t="s">
        <v>79</v>
      </c>
      <c r="B81" s="5" t="s">
        <v>84</v>
      </c>
      <c r="C81" s="5" t="s">
        <v>242</v>
      </c>
      <c r="D81" s="5">
        <v>80</v>
      </c>
      <c r="E81" s="5" t="s">
        <v>158</v>
      </c>
      <c r="F81" s="1">
        <v>2975.59</v>
      </c>
      <c r="G81" s="4">
        <f t="shared" si="2"/>
        <v>5.3197288860857049E-3</v>
      </c>
      <c r="P81">
        <v>77</v>
      </c>
      <c r="Q81">
        <v>38</v>
      </c>
      <c r="R81" t="s">
        <v>85</v>
      </c>
      <c r="S81" t="s">
        <v>85</v>
      </c>
      <c r="T81" t="str">
        <f t="shared" si="3"/>
        <v>77-38--</v>
      </c>
    </row>
    <row r="82" spans="1:20" x14ac:dyDescent="0.3">
      <c r="A82" s="5" t="s">
        <v>80</v>
      </c>
      <c r="B82" s="5" t="s">
        <v>163</v>
      </c>
      <c r="C82" s="5" t="s">
        <v>243</v>
      </c>
      <c r="D82" s="5">
        <v>81</v>
      </c>
      <c r="E82" s="5" t="s">
        <v>159</v>
      </c>
      <c r="F82" s="1">
        <v>0</v>
      </c>
      <c r="G82" s="4">
        <f t="shared" si="2"/>
        <v>0</v>
      </c>
      <c r="P82">
        <v>79</v>
      </c>
      <c r="Q82">
        <v>80</v>
      </c>
      <c r="R82">
        <v>78</v>
      </c>
      <c r="S82">
        <v>42</v>
      </c>
      <c r="T82" t="str">
        <f t="shared" si="3"/>
        <v>79-80-78-42</v>
      </c>
    </row>
    <row r="83" spans="1:20" x14ac:dyDescent="0.3">
      <c r="A83" s="5" t="s">
        <v>81</v>
      </c>
      <c r="B83" s="5" t="s">
        <v>163</v>
      </c>
      <c r="C83" s="5" t="s">
        <v>244</v>
      </c>
      <c r="D83" s="5">
        <v>82</v>
      </c>
      <c r="E83" s="5" t="s">
        <v>160</v>
      </c>
      <c r="F83" s="1">
        <v>0</v>
      </c>
      <c r="G83" s="4">
        <f t="shared" si="2"/>
        <v>0</v>
      </c>
      <c r="P83">
        <v>81</v>
      </c>
      <c r="Q83" t="s">
        <v>85</v>
      </c>
      <c r="R83" t="s">
        <v>85</v>
      </c>
      <c r="S83" t="s">
        <v>85</v>
      </c>
      <c r="T83" t="str">
        <f t="shared" si="3"/>
        <v>81---</v>
      </c>
    </row>
    <row r="84" spans="1:20" x14ac:dyDescent="0.3">
      <c r="A84" s="6"/>
      <c r="B84" s="6"/>
      <c r="C84" s="6"/>
      <c r="D84" s="6"/>
      <c r="F84" s="2"/>
      <c r="G84" s="4"/>
    </row>
    <row r="85" spans="1:20" x14ac:dyDescent="0.3">
      <c r="F85" s="3">
        <f>SUM(F2:F84)</f>
        <v>559349.93374999997</v>
      </c>
      <c r="G85" s="4">
        <f t="shared" ref="G85" si="4">F85/$F$85</f>
        <v>1</v>
      </c>
    </row>
    <row r="86" spans="1:20" x14ac:dyDescent="0.3">
      <c r="F86" s="3">
        <v>330000782.47000003</v>
      </c>
    </row>
  </sheetData>
  <pageMargins left="0.7" right="0.7" top="0.75" bottom="0.75" header="0.3" footer="0.3"/>
  <pageSetup scale="92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21D2A5-F11A-4765-A283-1E8DA6230031}">
  <sheetPr codeName="Sheet5"/>
  <dimension ref="A1:CE4"/>
  <sheetViews>
    <sheetView tabSelected="1" workbookViewId="0">
      <selection activeCell="P2" sqref="P2"/>
    </sheetView>
  </sheetViews>
  <sheetFormatPr defaultRowHeight="14.4" x14ac:dyDescent="0.3"/>
  <cols>
    <col min="1" max="1" width="14.6640625" customWidth="1"/>
    <col min="10" max="10" width="12.109375" customWidth="1"/>
    <col min="15" max="15" width="17.44140625" customWidth="1"/>
  </cols>
  <sheetData>
    <row r="1" spans="1:83" x14ac:dyDescent="0.3">
      <c r="A1" t="s">
        <v>245</v>
      </c>
      <c r="B1" s="5" t="s">
        <v>164</v>
      </c>
      <c r="C1" s="5" t="s">
        <v>165</v>
      </c>
      <c r="D1" s="5" t="s">
        <v>166</v>
      </c>
      <c r="E1" s="5" t="s">
        <v>167</v>
      </c>
      <c r="F1" s="5" t="s">
        <v>168</v>
      </c>
      <c r="G1" s="5" t="s">
        <v>169</v>
      </c>
      <c r="H1" s="5" t="s">
        <v>170</v>
      </c>
      <c r="I1" s="5" t="s">
        <v>171</v>
      </c>
      <c r="J1" s="5" t="s">
        <v>172</v>
      </c>
      <c r="K1" s="5" t="s">
        <v>173</v>
      </c>
      <c r="L1" s="5" t="s">
        <v>174</v>
      </c>
      <c r="M1" s="5" t="s">
        <v>175</v>
      </c>
      <c r="N1" s="5" t="s">
        <v>176</v>
      </c>
      <c r="O1" s="5" t="s">
        <v>162</v>
      </c>
      <c r="P1" s="5" t="s">
        <v>177</v>
      </c>
      <c r="Q1" s="5" t="s">
        <v>178</v>
      </c>
      <c r="R1" s="5" t="s">
        <v>179</v>
      </c>
      <c r="S1" s="5" t="s">
        <v>180</v>
      </c>
      <c r="T1" s="5" t="s">
        <v>181</v>
      </c>
      <c r="U1" s="5" t="s">
        <v>182</v>
      </c>
      <c r="V1" s="5" t="s">
        <v>183</v>
      </c>
      <c r="W1" s="5" t="s">
        <v>184</v>
      </c>
      <c r="X1" s="5" t="s">
        <v>185</v>
      </c>
      <c r="Y1" s="5" t="s">
        <v>186</v>
      </c>
      <c r="Z1" s="5" t="s">
        <v>187</v>
      </c>
      <c r="AA1" s="5" t="s">
        <v>188</v>
      </c>
      <c r="AB1" s="5" t="s">
        <v>189</v>
      </c>
      <c r="AC1" s="5" t="s">
        <v>190</v>
      </c>
      <c r="AD1" s="5" t="s">
        <v>191</v>
      </c>
      <c r="AE1" s="5" t="s">
        <v>192</v>
      </c>
      <c r="AF1" s="5" t="s">
        <v>193</v>
      </c>
      <c r="AG1" s="5" t="s">
        <v>194</v>
      </c>
      <c r="AH1" s="5" t="s">
        <v>195</v>
      </c>
      <c r="AI1" s="5" t="s">
        <v>196</v>
      </c>
      <c r="AJ1" s="5" t="s">
        <v>197</v>
      </c>
      <c r="AK1" s="5" t="s">
        <v>198</v>
      </c>
      <c r="AL1" s="5" t="s">
        <v>199</v>
      </c>
      <c r="AM1" s="5" t="s">
        <v>200</v>
      </c>
      <c r="AN1" s="5" t="s">
        <v>201</v>
      </c>
      <c r="AO1" s="5" t="s">
        <v>202</v>
      </c>
      <c r="AP1" s="5" t="s">
        <v>203</v>
      </c>
      <c r="AQ1" s="5" t="s">
        <v>204</v>
      </c>
      <c r="AR1" s="5" t="s">
        <v>205</v>
      </c>
      <c r="AS1" s="5" t="s">
        <v>206</v>
      </c>
      <c r="AT1" s="5" t="s">
        <v>207</v>
      </c>
      <c r="AU1" s="5" t="s">
        <v>208</v>
      </c>
      <c r="AV1" s="5" t="s">
        <v>209</v>
      </c>
      <c r="AW1" s="5" t="s">
        <v>210</v>
      </c>
      <c r="AX1" s="5" t="s">
        <v>211</v>
      </c>
      <c r="AY1" s="5" t="s">
        <v>212</v>
      </c>
      <c r="AZ1" s="5" t="s">
        <v>213</v>
      </c>
      <c r="BA1" s="5" t="s">
        <v>214</v>
      </c>
      <c r="BB1" s="5" t="s">
        <v>215</v>
      </c>
      <c r="BC1" s="5" t="s">
        <v>216</v>
      </c>
      <c r="BD1" s="5" t="s">
        <v>217</v>
      </c>
      <c r="BE1" s="5" t="s">
        <v>218</v>
      </c>
      <c r="BF1" s="5" t="s">
        <v>219</v>
      </c>
      <c r="BG1" s="5" t="s">
        <v>220</v>
      </c>
      <c r="BH1" s="5" t="s">
        <v>221</v>
      </c>
      <c r="BI1" s="5" t="s">
        <v>222</v>
      </c>
      <c r="BJ1" s="5" t="s">
        <v>223</v>
      </c>
      <c r="BK1" s="5" t="s">
        <v>224</v>
      </c>
      <c r="BL1" s="5" t="s">
        <v>225</v>
      </c>
      <c r="BM1" s="5" t="s">
        <v>226</v>
      </c>
      <c r="BN1" s="5" t="s">
        <v>227</v>
      </c>
      <c r="BO1" s="5" t="s">
        <v>228</v>
      </c>
      <c r="BP1" s="5" t="s">
        <v>229</v>
      </c>
      <c r="BQ1" s="5" t="s">
        <v>230</v>
      </c>
      <c r="BR1" s="5" t="s">
        <v>231</v>
      </c>
      <c r="BS1" s="5" t="s">
        <v>232</v>
      </c>
      <c r="BT1" s="5" t="s">
        <v>233</v>
      </c>
      <c r="BU1" s="5" t="s">
        <v>234</v>
      </c>
      <c r="BV1" s="5" t="s">
        <v>235</v>
      </c>
      <c r="BW1" s="5" t="s">
        <v>236</v>
      </c>
      <c r="BX1" s="5" t="s">
        <v>237</v>
      </c>
      <c r="BY1" s="5" t="s">
        <v>238</v>
      </c>
      <c r="BZ1" s="5" t="s">
        <v>239</v>
      </c>
      <c r="CA1" s="5" t="s">
        <v>240</v>
      </c>
      <c r="CB1" s="5" t="s">
        <v>241</v>
      </c>
      <c r="CC1" s="5" t="s">
        <v>242</v>
      </c>
      <c r="CD1" s="5" t="s">
        <v>243</v>
      </c>
      <c r="CE1" s="5" t="s">
        <v>244</v>
      </c>
    </row>
    <row r="2" spans="1:83" ht="28.8" x14ac:dyDescent="0.3">
      <c r="A2" t="s">
        <v>248</v>
      </c>
      <c r="B2" s="7" t="s">
        <v>246</v>
      </c>
      <c r="C2" s="7" t="s">
        <v>246</v>
      </c>
      <c r="D2" s="7" t="s">
        <v>246</v>
      </c>
      <c r="E2" s="7" t="s">
        <v>246</v>
      </c>
      <c r="F2" s="7" t="s">
        <v>246</v>
      </c>
      <c r="G2" s="7" t="s">
        <v>246</v>
      </c>
      <c r="H2" s="7" t="s">
        <v>246</v>
      </c>
      <c r="I2" s="7" t="s">
        <v>246</v>
      </c>
      <c r="J2" s="7" t="s">
        <v>246</v>
      </c>
      <c r="K2" s="7" t="s">
        <v>246</v>
      </c>
      <c r="L2" s="7" t="s">
        <v>246</v>
      </c>
      <c r="M2" s="7" t="s">
        <v>246</v>
      </c>
      <c r="N2" s="7" t="s">
        <v>246</v>
      </c>
      <c r="O2" s="7" t="s">
        <v>246</v>
      </c>
      <c r="P2" s="7" t="s">
        <v>247</v>
      </c>
      <c r="Q2" s="7" t="s">
        <v>247</v>
      </c>
      <c r="R2" s="7" t="s">
        <v>247</v>
      </c>
      <c r="S2" s="7" t="s">
        <v>247</v>
      </c>
      <c r="T2" s="7" t="s">
        <v>247</v>
      </c>
      <c r="U2" s="7" t="s">
        <v>247</v>
      </c>
      <c r="V2" s="7" t="s">
        <v>247</v>
      </c>
      <c r="W2" s="7" t="s">
        <v>247</v>
      </c>
      <c r="X2" s="7" t="s">
        <v>247</v>
      </c>
      <c r="Y2" s="7" t="s">
        <v>247</v>
      </c>
      <c r="Z2" s="7" t="s">
        <v>247</v>
      </c>
      <c r="AA2" s="7" t="s">
        <v>247</v>
      </c>
      <c r="AB2" s="7" t="s">
        <v>247</v>
      </c>
      <c r="AC2" s="7" t="s">
        <v>247</v>
      </c>
      <c r="AD2" s="7" t="s">
        <v>247</v>
      </c>
      <c r="AE2" s="7" t="s">
        <v>247</v>
      </c>
      <c r="AF2" s="7" t="s">
        <v>247</v>
      </c>
      <c r="AG2" s="7" t="s">
        <v>247</v>
      </c>
      <c r="AH2" s="7" t="s">
        <v>247</v>
      </c>
      <c r="AI2" s="7" t="s">
        <v>247</v>
      </c>
      <c r="AJ2" s="7" t="s">
        <v>247</v>
      </c>
      <c r="AK2" s="7" t="s">
        <v>247</v>
      </c>
      <c r="AL2" s="7" t="s">
        <v>247</v>
      </c>
      <c r="AM2" s="7" t="s">
        <v>247</v>
      </c>
      <c r="AN2" s="7" t="s">
        <v>247</v>
      </c>
      <c r="AO2" s="7" t="s">
        <v>247</v>
      </c>
      <c r="AP2" s="7" t="s">
        <v>247</v>
      </c>
      <c r="AQ2" s="7" t="s">
        <v>247</v>
      </c>
      <c r="AR2" s="7" t="s">
        <v>247</v>
      </c>
      <c r="AS2" s="7" t="s">
        <v>247</v>
      </c>
      <c r="AT2" s="7" t="s">
        <v>247</v>
      </c>
      <c r="AU2" s="7" t="s">
        <v>247</v>
      </c>
      <c r="AV2" s="7" t="s">
        <v>247</v>
      </c>
      <c r="AW2" s="7" t="s">
        <v>247</v>
      </c>
      <c r="AX2" s="7" t="s">
        <v>247</v>
      </c>
      <c r="AY2" s="7" t="s">
        <v>247</v>
      </c>
      <c r="AZ2" s="7" t="s">
        <v>247</v>
      </c>
      <c r="BA2" s="7" t="s">
        <v>247</v>
      </c>
      <c r="BB2" s="7" t="s">
        <v>247</v>
      </c>
      <c r="BC2" s="7" t="s">
        <v>247</v>
      </c>
      <c r="BD2" s="7" t="s">
        <v>247</v>
      </c>
      <c r="BE2" s="7" t="s">
        <v>247</v>
      </c>
      <c r="BF2" s="7" t="s">
        <v>247</v>
      </c>
      <c r="BG2" s="7" t="s">
        <v>247</v>
      </c>
      <c r="BH2" s="7" t="s">
        <v>247</v>
      </c>
      <c r="BI2" s="7" t="s">
        <v>247</v>
      </c>
      <c r="BJ2" s="7" t="s">
        <v>247</v>
      </c>
      <c r="BK2" s="7" t="s">
        <v>247</v>
      </c>
      <c r="BL2" s="7" t="s">
        <v>247</v>
      </c>
      <c r="BM2" s="7" t="s">
        <v>247</v>
      </c>
      <c r="BN2" s="7" t="s">
        <v>247</v>
      </c>
      <c r="BO2" s="7" t="s">
        <v>247</v>
      </c>
      <c r="BP2" s="7" t="s">
        <v>247</v>
      </c>
      <c r="BQ2" s="7" t="s">
        <v>247</v>
      </c>
      <c r="BR2" s="7" t="s">
        <v>247</v>
      </c>
      <c r="BS2" s="7" t="s">
        <v>247</v>
      </c>
      <c r="BT2" s="7" t="s">
        <v>247</v>
      </c>
      <c r="BU2" s="7" t="s">
        <v>247</v>
      </c>
      <c r="BV2" s="7" t="s">
        <v>247</v>
      </c>
      <c r="BW2" s="7" t="s">
        <v>247</v>
      </c>
      <c r="BX2" s="7" t="s">
        <v>247</v>
      </c>
      <c r="BY2" s="7" t="s">
        <v>247</v>
      </c>
      <c r="BZ2" s="7" t="s">
        <v>247</v>
      </c>
      <c r="CA2" s="7" t="s">
        <v>247</v>
      </c>
      <c r="CB2" s="7" t="s">
        <v>247</v>
      </c>
      <c r="CC2" s="7" t="s">
        <v>247</v>
      </c>
      <c r="CD2" s="7" t="s">
        <v>247</v>
      </c>
      <c r="CE2" s="7" t="s">
        <v>247</v>
      </c>
    </row>
    <row r="3" spans="1:83" x14ac:dyDescent="0.3"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7"/>
      <c r="AZ3" s="7"/>
      <c r="BA3" s="7"/>
      <c r="BB3" s="7"/>
      <c r="BC3" s="7"/>
      <c r="BD3" s="7"/>
      <c r="BE3" s="7"/>
      <c r="BF3" s="7"/>
      <c r="BG3" s="7"/>
      <c r="BH3" s="7"/>
      <c r="BI3" s="7"/>
      <c r="BJ3" s="7"/>
      <c r="BK3" s="7"/>
      <c r="BL3" s="7"/>
      <c r="BM3" s="7"/>
      <c r="BN3" s="7"/>
      <c r="BO3" s="7"/>
      <c r="BP3" s="7"/>
      <c r="BQ3" s="7"/>
      <c r="BR3" s="7"/>
      <c r="BS3" s="7"/>
      <c r="BT3" s="7"/>
      <c r="BU3" s="7"/>
      <c r="BV3" s="7"/>
      <c r="BW3" s="7"/>
      <c r="BX3" s="7"/>
      <c r="BY3" s="7"/>
      <c r="BZ3" s="7"/>
      <c r="CA3" s="7"/>
      <c r="CB3" s="7"/>
      <c r="CC3" s="7"/>
      <c r="CD3" s="7"/>
      <c r="CE3" s="7"/>
    </row>
    <row r="4" spans="1:83" x14ac:dyDescent="0.3"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  <c r="AW4" s="7"/>
      <c r="AX4" s="7"/>
      <c r="AY4" s="7"/>
      <c r="AZ4" s="7"/>
      <c r="BA4" s="7"/>
      <c r="BB4" s="7"/>
      <c r="BC4" s="7"/>
      <c r="BD4" s="7"/>
      <c r="BE4" s="7"/>
      <c r="BF4" s="7"/>
      <c r="BG4" s="7"/>
      <c r="BH4" s="7"/>
      <c r="BI4" s="7"/>
      <c r="BJ4" s="7"/>
      <c r="BK4" s="7"/>
      <c r="BL4" s="7"/>
      <c r="BM4" s="7"/>
      <c r="BN4" s="7"/>
      <c r="BO4" s="7"/>
      <c r="BP4" s="7"/>
      <c r="BQ4" s="7"/>
      <c r="BR4" s="7"/>
      <c r="BS4" s="7"/>
      <c r="BT4" s="7"/>
      <c r="BU4" s="7"/>
      <c r="BV4" s="7"/>
      <c r="BW4" s="7"/>
      <c r="BX4" s="7"/>
      <c r="BY4" s="7"/>
      <c r="BZ4" s="7"/>
      <c r="CA4" s="7"/>
      <c r="CB4" s="7"/>
      <c r="CC4" s="7"/>
      <c r="CD4" s="7"/>
      <c r="CE4" s="7"/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CORE-ACTIVITIES</vt:lpstr>
      <vt:lpstr>data</vt:lpstr>
      <vt:lpstr>'CORE-ACTIVITIES'!Print_Area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gapal</dc:creator>
  <cp:lastModifiedBy>mostafa gabalawy</cp:lastModifiedBy>
  <cp:lastPrinted>2025-02-22T07:09:20Z</cp:lastPrinted>
  <dcterms:created xsi:type="dcterms:W3CDTF">2015-06-05T18:17:20Z</dcterms:created>
  <dcterms:modified xsi:type="dcterms:W3CDTF">2025-04-28T12:42:58Z</dcterms:modified>
</cp:coreProperties>
</file>